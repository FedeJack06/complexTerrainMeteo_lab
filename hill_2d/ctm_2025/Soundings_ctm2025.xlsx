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984" documentId="11_0B1D56BE9CDCCE836B02CE7A5FB0D4A9BBFD1C62" xr6:coauthVersionLast="47" xr6:coauthVersionMax="47" xr10:uidLastSave="{4D6E2DAE-B410-4AA0-A5E2-8DBEB373C4D8}"/>
  <bookViews>
    <workbookView xWindow="240" yWindow="105" windowWidth="14805" windowHeight="8010" xr2:uid="{00000000-000D-0000-FFFF-FFFF00000000}"/>
  </bookViews>
  <sheets>
    <sheet name="unifor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4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K5" i="1"/>
</calcChain>
</file>

<file path=xl/sharedStrings.xml><?xml version="1.0" encoding="utf-8"?>
<sst xmlns="http://schemas.openxmlformats.org/spreadsheetml/2006/main" count="13" uniqueCount="13">
  <si>
    <t>Sounding in the base case</t>
  </si>
  <si>
    <t>height</t>
  </si>
  <si>
    <t>potential temperature (K)</t>
  </si>
  <si>
    <t>mixing ratio</t>
  </si>
  <si>
    <t>u</t>
  </si>
  <si>
    <t>v</t>
  </si>
  <si>
    <t>dT/dz</t>
  </si>
  <si>
    <t>N</t>
  </si>
  <si>
    <t>U</t>
  </si>
  <si>
    <t>g</t>
  </si>
  <si>
    <t>h</t>
  </si>
  <si>
    <t>N_mean</t>
  </si>
  <si>
    <t>h_cap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</si>
</sst>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Liberation Sans"/>
      <charset val="1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 applyAlignment="1">
      <alignment horizontal="center" vertical="center"/>
    </xf>
  </cellXfs>
  <cellStyles count="1">
    <cellStyle name="Normale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charset val="1"/>
        <scheme val="none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Vertical profile of potential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Potential temperature (K)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uniform!$B$3:$B$603</c:f>
              <c:numCache>
                <c:formatCode>General</c:formatCode>
                <c:ptCount val="601"/>
                <c:pt idx="0">
                  <c:v>288</c:v>
                </c:pt>
                <c:pt idx="1">
                  <c:v>288.14999999999998</c:v>
                </c:pt>
                <c:pt idx="2">
                  <c:v>288.29000000000002</c:v>
                </c:pt>
                <c:pt idx="3">
                  <c:v>288.44</c:v>
                </c:pt>
                <c:pt idx="4">
                  <c:v>288.58999999999997</c:v>
                </c:pt>
                <c:pt idx="5">
                  <c:v>288.74</c:v>
                </c:pt>
                <c:pt idx="6">
                  <c:v>288.88</c:v>
                </c:pt>
                <c:pt idx="7">
                  <c:v>289.02999999999997</c:v>
                </c:pt>
                <c:pt idx="8">
                  <c:v>289.18</c:v>
                </c:pt>
                <c:pt idx="9">
                  <c:v>289.32</c:v>
                </c:pt>
                <c:pt idx="10">
                  <c:v>289.47000000000003</c:v>
                </c:pt>
                <c:pt idx="11">
                  <c:v>289.62</c:v>
                </c:pt>
                <c:pt idx="12">
                  <c:v>289.77</c:v>
                </c:pt>
                <c:pt idx="13">
                  <c:v>289.92</c:v>
                </c:pt>
                <c:pt idx="14">
                  <c:v>290.06</c:v>
                </c:pt>
                <c:pt idx="15">
                  <c:v>290.20999999999998</c:v>
                </c:pt>
                <c:pt idx="16">
                  <c:v>290.36</c:v>
                </c:pt>
                <c:pt idx="17">
                  <c:v>290.51</c:v>
                </c:pt>
                <c:pt idx="18">
                  <c:v>290.66000000000003</c:v>
                </c:pt>
                <c:pt idx="19">
                  <c:v>290.8</c:v>
                </c:pt>
                <c:pt idx="20">
                  <c:v>290.95</c:v>
                </c:pt>
                <c:pt idx="21">
                  <c:v>291.10000000000002</c:v>
                </c:pt>
                <c:pt idx="22">
                  <c:v>291.25</c:v>
                </c:pt>
                <c:pt idx="23">
                  <c:v>291.39999999999998</c:v>
                </c:pt>
                <c:pt idx="24">
                  <c:v>291.55</c:v>
                </c:pt>
                <c:pt idx="25">
                  <c:v>291.69</c:v>
                </c:pt>
                <c:pt idx="26">
                  <c:v>291.83999999999997</c:v>
                </c:pt>
                <c:pt idx="27">
                  <c:v>291.99</c:v>
                </c:pt>
                <c:pt idx="28">
                  <c:v>292.14</c:v>
                </c:pt>
                <c:pt idx="29">
                  <c:v>292.29000000000002</c:v>
                </c:pt>
                <c:pt idx="30">
                  <c:v>292.44</c:v>
                </c:pt>
                <c:pt idx="31">
                  <c:v>292.58999999999997</c:v>
                </c:pt>
                <c:pt idx="32">
                  <c:v>292.74</c:v>
                </c:pt>
                <c:pt idx="33">
                  <c:v>292.89</c:v>
                </c:pt>
                <c:pt idx="34">
                  <c:v>293.04000000000002</c:v>
                </c:pt>
                <c:pt idx="35">
                  <c:v>293.19</c:v>
                </c:pt>
                <c:pt idx="36">
                  <c:v>293.33999999999997</c:v>
                </c:pt>
                <c:pt idx="37">
                  <c:v>293.49</c:v>
                </c:pt>
                <c:pt idx="38">
                  <c:v>293.63</c:v>
                </c:pt>
                <c:pt idx="39">
                  <c:v>293.77999999999997</c:v>
                </c:pt>
                <c:pt idx="40">
                  <c:v>293.93</c:v>
                </c:pt>
                <c:pt idx="41">
                  <c:v>294.08</c:v>
                </c:pt>
                <c:pt idx="42">
                  <c:v>294.23</c:v>
                </c:pt>
                <c:pt idx="43">
                  <c:v>294.38</c:v>
                </c:pt>
                <c:pt idx="44">
                  <c:v>294.52999999999997</c:v>
                </c:pt>
                <c:pt idx="45">
                  <c:v>294.68</c:v>
                </c:pt>
                <c:pt idx="46">
                  <c:v>294.83999999999997</c:v>
                </c:pt>
                <c:pt idx="47">
                  <c:v>294.99</c:v>
                </c:pt>
                <c:pt idx="48">
                  <c:v>295.14</c:v>
                </c:pt>
                <c:pt idx="49">
                  <c:v>295.29000000000002</c:v>
                </c:pt>
                <c:pt idx="50">
                  <c:v>295.44</c:v>
                </c:pt>
                <c:pt idx="51">
                  <c:v>295.58999999999997</c:v>
                </c:pt>
                <c:pt idx="52">
                  <c:v>295.74</c:v>
                </c:pt>
                <c:pt idx="53">
                  <c:v>295.89</c:v>
                </c:pt>
                <c:pt idx="54">
                  <c:v>296.04000000000002</c:v>
                </c:pt>
                <c:pt idx="55">
                  <c:v>296.19</c:v>
                </c:pt>
                <c:pt idx="56">
                  <c:v>296.33999999999997</c:v>
                </c:pt>
                <c:pt idx="57">
                  <c:v>296.49</c:v>
                </c:pt>
                <c:pt idx="58">
                  <c:v>296.64</c:v>
                </c:pt>
                <c:pt idx="59">
                  <c:v>296.8</c:v>
                </c:pt>
                <c:pt idx="60">
                  <c:v>296.95</c:v>
                </c:pt>
                <c:pt idx="61">
                  <c:v>297.10000000000002</c:v>
                </c:pt>
                <c:pt idx="62">
                  <c:v>297.25</c:v>
                </c:pt>
                <c:pt idx="63">
                  <c:v>297.39999999999998</c:v>
                </c:pt>
                <c:pt idx="64">
                  <c:v>297.55</c:v>
                </c:pt>
                <c:pt idx="65">
                  <c:v>297.70999999999998</c:v>
                </c:pt>
                <c:pt idx="66">
                  <c:v>297.86</c:v>
                </c:pt>
                <c:pt idx="67">
                  <c:v>298.01</c:v>
                </c:pt>
                <c:pt idx="68">
                  <c:v>298.16000000000003</c:v>
                </c:pt>
                <c:pt idx="69">
                  <c:v>298.31</c:v>
                </c:pt>
                <c:pt idx="70">
                  <c:v>298.47000000000003</c:v>
                </c:pt>
                <c:pt idx="71">
                  <c:v>298.62</c:v>
                </c:pt>
                <c:pt idx="72">
                  <c:v>298.77</c:v>
                </c:pt>
                <c:pt idx="73">
                  <c:v>298.92</c:v>
                </c:pt>
                <c:pt idx="74">
                  <c:v>299.07</c:v>
                </c:pt>
                <c:pt idx="75">
                  <c:v>299.23</c:v>
                </c:pt>
                <c:pt idx="76">
                  <c:v>299.38</c:v>
                </c:pt>
                <c:pt idx="77">
                  <c:v>299.52999999999997</c:v>
                </c:pt>
                <c:pt idx="78">
                  <c:v>299.69</c:v>
                </c:pt>
                <c:pt idx="79">
                  <c:v>299.83999999999997</c:v>
                </c:pt>
                <c:pt idx="80">
                  <c:v>299.99</c:v>
                </c:pt>
                <c:pt idx="81">
                  <c:v>300.14</c:v>
                </c:pt>
                <c:pt idx="82">
                  <c:v>300.3</c:v>
                </c:pt>
                <c:pt idx="83">
                  <c:v>300.45</c:v>
                </c:pt>
                <c:pt idx="84">
                  <c:v>300.60000000000002</c:v>
                </c:pt>
                <c:pt idx="85">
                  <c:v>300.76</c:v>
                </c:pt>
                <c:pt idx="86">
                  <c:v>300.91000000000003</c:v>
                </c:pt>
                <c:pt idx="87">
                  <c:v>301.06</c:v>
                </c:pt>
                <c:pt idx="88">
                  <c:v>301.22000000000003</c:v>
                </c:pt>
                <c:pt idx="89">
                  <c:v>301.37</c:v>
                </c:pt>
                <c:pt idx="90">
                  <c:v>301.52999999999997</c:v>
                </c:pt>
                <c:pt idx="91">
                  <c:v>301.68</c:v>
                </c:pt>
                <c:pt idx="92">
                  <c:v>301.83</c:v>
                </c:pt>
                <c:pt idx="93">
                  <c:v>301.99</c:v>
                </c:pt>
                <c:pt idx="94">
                  <c:v>302.14</c:v>
                </c:pt>
                <c:pt idx="95">
                  <c:v>302.29000000000002</c:v>
                </c:pt>
                <c:pt idx="96">
                  <c:v>302.45</c:v>
                </c:pt>
                <c:pt idx="97">
                  <c:v>302.60000000000002</c:v>
                </c:pt>
                <c:pt idx="98">
                  <c:v>302.76</c:v>
                </c:pt>
                <c:pt idx="99">
                  <c:v>302.91000000000003</c:v>
                </c:pt>
                <c:pt idx="100">
                  <c:v>303.07</c:v>
                </c:pt>
                <c:pt idx="101">
                  <c:v>303.22000000000003</c:v>
                </c:pt>
                <c:pt idx="102">
                  <c:v>303.38</c:v>
                </c:pt>
                <c:pt idx="103">
                  <c:v>303.52999999999997</c:v>
                </c:pt>
                <c:pt idx="104">
                  <c:v>303.69</c:v>
                </c:pt>
                <c:pt idx="105">
                  <c:v>303.83999999999997</c:v>
                </c:pt>
                <c:pt idx="106">
                  <c:v>304</c:v>
                </c:pt>
                <c:pt idx="107">
                  <c:v>304.14999999999998</c:v>
                </c:pt>
                <c:pt idx="108">
                  <c:v>304.31</c:v>
                </c:pt>
                <c:pt idx="109">
                  <c:v>304.45999999999998</c:v>
                </c:pt>
                <c:pt idx="110">
                  <c:v>304.62</c:v>
                </c:pt>
                <c:pt idx="111">
                  <c:v>304.77</c:v>
                </c:pt>
                <c:pt idx="112">
                  <c:v>304.93</c:v>
                </c:pt>
                <c:pt idx="113">
                  <c:v>305.08</c:v>
                </c:pt>
                <c:pt idx="114">
                  <c:v>305.24</c:v>
                </c:pt>
                <c:pt idx="115">
                  <c:v>305.39</c:v>
                </c:pt>
                <c:pt idx="116">
                  <c:v>305.55</c:v>
                </c:pt>
                <c:pt idx="117">
                  <c:v>305.70999999999998</c:v>
                </c:pt>
                <c:pt idx="118">
                  <c:v>305.86</c:v>
                </c:pt>
                <c:pt idx="119">
                  <c:v>306.02</c:v>
                </c:pt>
                <c:pt idx="120">
                  <c:v>306.17</c:v>
                </c:pt>
                <c:pt idx="121">
                  <c:v>306.33</c:v>
                </c:pt>
                <c:pt idx="122">
                  <c:v>306.49</c:v>
                </c:pt>
                <c:pt idx="123">
                  <c:v>306.64</c:v>
                </c:pt>
                <c:pt idx="124">
                  <c:v>306.8</c:v>
                </c:pt>
                <c:pt idx="125">
                  <c:v>306.95</c:v>
                </c:pt>
                <c:pt idx="126">
                  <c:v>307.11</c:v>
                </c:pt>
                <c:pt idx="127">
                  <c:v>307.27</c:v>
                </c:pt>
                <c:pt idx="128">
                  <c:v>307.42</c:v>
                </c:pt>
                <c:pt idx="129">
                  <c:v>307.58</c:v>
                </c:pt>
                <c:pt idx="130">
                  <c:v>307.74</c:v>
                </c:pt>
                <c:pt idx="131">
                  <c:v>307.89999999999998</c:v>
                </c:pt>
                <c:pt idx="132">
                  <c:v>308.05</c:v>
                </c:pt>
                <c:pt idx="133">
                  <c:v>308.20999999999998</c:v>
                </c:pt>
                <c:pt idx="134">
                  <c:v>308.37</c:v>
                </c:pt>
                <c:pt idx="135">
                  <c:v>308.52</c:v>
                </c:pt>
                <c:pt idx="136">
                  <c:v>308.68</c:v>
                </c:pt>
                <c:pt idx="137">
                  <c:v>308.83999999999997</c:v>
                </c:pt>
                <c:pt idx="138">
                  <c:v>309</c:v>
                </c:pt>
                <c:pt idx="139">
                  <c:v>309.14999999999998</c:v>
                </c:pt>
                <c:pt idx="140">
                  <c:v>309.31</c:v>
                </c:pt>
                <c:pt idx="141">
                  <c:v>309.47000000000003</c:v>
                </c:pt>
                <c:pt idx="142">
                  <c:v>309.63</c:v>
                </c:pt>
                <c:pt idx="143">
                  <c:v>309.79000000000002</c:v>
                </c:pt>
                <c:pt idx="144">
                  <c:v>309.94</c:v>
                </c:pt>
                <c:pt idx="145">
                  <c:v>310.10000000000002</c:v>
                </c:pt>
                <c:pt idx="146">
                  <c:v>310.26</c:v>
                </c:pt>
                <c:pt idx="147">
                  <c:v>310.42</c:v>
                </c:pt>
                <c:pt idx="148">
                  <c:v>310.58</c:v>
                </c:pt>
                <c:pt idx="149">
                  <c:v>310.73</c:v>
                </c:pt>
                <c:pt idx="150">
                  <c:v>310.89</c:v>
                </c:pt>
                <c:pt idx="151">
                  <c:v>311.05</c:v>
                </c:pt>
                <c:pt idx="152">
                  <c:v>311.20999999999998</c:v>
                </c:pt>
                <c:pt idx="153">
                  <c:v>311.37</c:v>
                </c:pt>
                <c:pt idx="154">
                  <c:v>311.52999999999997</c:v>
                </c:pt>
                <c:pt idx="155">
                  <c:v>311.69</c:v>
                </c:pt>
                <c:pt idx="156">
                  <c:v>311.85000000000002</c:v>
                </c:pt>
                <c:pt idx="157">
                  <c:v>312</c:v>
                </c:pt>
                <c:pt idx="158">
                  <c:v>312.16000000000003</c:v>
                </c:pt>
                <c:pt idx="159">
                  <c:v>312.32</c:v>
                </c:pt>
                <c:pt idx="160">
                  <c:v>312.48</c:v>
                </c:pt>
                <c:pt idx="161">
                  <c:v>312.64</c:v>
                </c:pt>
                <c:pt idx="162">
                  <c:v>312.8</c:v>
                </c:pt>
                <c:pt idx="163">
                  <c:v>312.95999999999998</c:v>
                </c:pt>
                <c:pt idx="164">
                  <c:v>313.12</c:v>
                </c:pt>
                <c:pt idx="165">
                  <c:v>313.27999999999997</c:v>
                </c:pt>
                <c:pt idx="166">
                  <c:v>313.44</c:v>
                </c:pt>
                <c:pt idx="167">
                  <c:v>313.60000000000002</c:v>
                </c:pt>
                <c:pt idx="168">
                  <c:v>313.76</c:v>
                </c:pt>
                <c:pt idx="169">
                  <c:v>313.92</c:v>
                </c:pt>
                <c:pt idx="170">
                  <c:v>314.08</c:v>
                </c:pt>
                <c:pt idx="171">
                  <c:v>314.24</c:v>
                </c:pt>
                <c:pt idx="172">
                  <c:v>314.39999999999998</c:v>
                </c:pt>
                <c:pt idx="173">
                  <c:v>314.56</c:v>
                </c:pt>
                <c:pt idx="174">
                  <c:v>314.72000000000003</c:v>
                </c:pt>
                <c:pt idx="175">
                  <c:v>314.88</c:v>
                </c:pt>
                <c:pt idx="176">
                  <c:v>315.04000000000002</c:v>
                </c:pt>
                <c:pt idx="177">
                  <c:v>315.2</c:v>
                </c:pt>
                <c:pt idx="178">
                  <c:v>315.36</c:v>
                </c:pt>
                <c:pt idx="179">
                  <c:v>315.52</c:v>
                </c:pt>
                <c:pt idx="180">
                  <c:v>315.69</c:v>
                </c:pt>
                <c:pt idx="181">
                  <c:v>315.85000000000002</c:v>
                </c:pt>
                <c:pt idx="182">
                  <c:v>316.01</c:v>
                </c:pt>
                <c:pt idx="183">
                  <c:v>316.17</c:v>
                </c:pt>
                <c:pt idx="184">
                  <c:v>316.33</c:v>
                </c:pt>
                <c:pt idx="185">
                  <c:v>316.49</c:v>
                </c:pt>
                <c:pt idx="186">
                  <c:v>316.64999999999998</c:v>
                </c:pt>
                <c:pt idx="187">
                  <c:v>316.81</c:v>
                </c:pt>
                <c:pt idx="188">
                  <c:v>316.98</c:v>
                </c:pt>
                <c:pt idx="189">
                  <c:v>317.14</c:v>
                </c:pt>
                <c:pt idx="190">
                  <c:v>317.3</c:v>
                </c:pt>
                <c:pt idx="191">
                  <c:v>317.45999999999998</c:v>
                </c:pt>
                <c:pt idx="192">
                  <c:v>317.62</c:v>
                </c:pt>
                <c:pt idx="193">
                  <c:v>317.77999999999997</c:v>
                </c:pt>
                <c:pt idx="194">
                  <c:v>317.95</c:v>
                </c:pt>
                <c:pt idx="195">
                  <c:v>318.11</c:v>
                </c:pt>
                <c:pt idx="196">
                  <c:v>318.27</c:v>
                </c:pt>
                <c:pt idx="197">
                  <c:v>318.43</c:v>
                </c:pt>
                <c:pt idx="198">
                  <c:v>318.60000000000002</c:v>
                </c:pt>
                <c:pt idx="199">
                  <c:v>318.76</c:v>
                </c:pt>
                <c:pt idx="200">
                  <c:v>318.92</c:v>
                </c:pt>
                <c:pt idx="201">
                  <c:v>319.08</c:v>
                </c:pt>
                <c:pt idx="202">
                  <c:v>319.25</c:v>
                </c:pt>
                <c:pt idx="203">
                  <c:v>319.41000000000003</c:v>
                </c:pt>
                <c:pt idx="204">
                  <c:v>319.57</c:v>
                </c:pt>
                <c:pt idx="205">
                  <c:v>319.74</c:v>
                </c:pt>
                <c:pt idx="206">
                  <c:v>319.89999999999998</c:v>
                </c:pt>
                <c:pt idx="207">
                  <c:v>320.06</c:v>
                </c:pt>
                <c:pt idx="208">
                  <c:v>320.22000000000003</c:v>
                </c:pt>
                <c:pt idx="209">
                  <c:v>320.39</c:v>
                </c:pt>
                <c:pt idx="210">
                  <c:v>320.55</c:v>
                </c:pt>
                <c:pt idx="211">
                  <c:v>320.72000000000003</c:v>
                </c:pt>
                <c:pt idx="212">
                  <c:v>320.88</c:v>
                </c:pt>
                <c:pt idx="213">
                  <c:v>321.04000000000002</c:v>
                </c:pt>
                <c:pt idx="214">
                  <c:v>321.20999999999998</c:v>
                </c:pt>
                <c:pt idx="215">
                  <c:v>321.37</c:v>
                </c:pt>
                <c:pt idx="216">
                  <c:v>321.52999999999997</c:v>
                </c:pt>
                <c:pt idx="217">
                  <c:v>321.7</c:v>
                </c:pt>
                <c:pt idx="218">
                  <c:v>321.86</c:v>
                </c:pt>
                <c:pt idx="219">
                  <c:v>322.02999999999997</c:v>
                </c:pt>
                <c:pt idx="220">
                  <c:v>322.19</c:v>
                </c:pt>
                <c:pt idx="221">
                  <c:v>322.35000000000002</c:v>
                </c:pt>
                <c:pt idx="222">
                  <c:v>322.52</c:v>
                </c:pt>
                <c:pt idx="223">
                  <c:v>322.68</c:v>
                </c:pt>
                <c:pt idx="224">
                  <c:v>322.85000000000002</c:v>
                </c:pt>
                <c:pt idx="225">
                  <c:v>323.01</c:v>
                </c:pt>
                <c:pt idx="226">
                  <c:v>323.18</c:v>
                </c:pt>
                <c:pt idx="227">
                  <c:v>323.33999999999997</c:v>
                </c:pt>
                <c:pt idx="228">
                  <c:v>323.51</c:v>
                </c:pt>
                <c:pt idx="229">
                  <c:v>323.67</c:v>
                </c:pt>
                <c:pt idx="230">
                  <c:v>323.83999999999997</c:v>
                </c:pt>
                <c:pt idx="231">
                  <c:v>324</c:v>
                </c:pt>
                <c:pt idx="232">
                  <c:v>324.17</c:v>
                </c:pt>
                <c:pt idx="233">
                  <c:v>324.33</c:v>
                </c:pt>
                <c:pt idx="234">
                  <c:v>324.5</c:v>
                </c:pt>
                <c:pt idx="235">
                  <c:v>324.66000000000003</c:v>
                </c:pt>
                <c:pt idx="236">
                  <c:v>324.83</c:v>
                </c:pt>
                <c:pt idx="237">
                  <c:v>325</c:v>
                </c:pt>
                <c:pt idx="238">
                  <c:v>325.16000000000003</c:v>
                </c:pt>
                <c:pt idx="239">
                  <c:v>325.33</c:v>
                </c:pt>
                <c:pt idx="240">
                  <c:v>325.49</c:v>
                </c:pt>
                <c:pt idx="241">
                  <c:v>325.66000000000003</c:v>
                </c:pt>
                <c:pt idx="242">
                  <c:v>325.83</c:v>
                </c:pt>
                <c:pt idx="243">
                  <c:v>325.99</c:v>
                </c:pt>
                <c:pt idx="244">
                  <c:v>326.16000000000003</c:v>
                </c:pt>
                <c:pt idx="245">
                  <c:v>326.32</c:v>
                </c:pt>
                <c:pt idx="246">
                  <c:v>326.49</c:v>
                </c:pt>
                <c:pt idx="247">
                  <c:v>326.66000000000003</c:v>
                </c:pt>
                <c:pt idx="248">
                  <c:v>326.82</c:v>
                </c:pt>
                <c:pt idx="249">
                  <c:v>326.99</c:v>
                </c:pt>
                <c:pt idx="250">
                  <c:v>327.16000000000003</c:v>
                </c:pt>
                <c:pt idx="251">
                  <c:v>327.32</c:v>
                </c:pt>
                <c:pt idx="252">
                  <c:v>327.49</c:v>
                </c:pt>
                <c:pt idx="253">
                  <c:v>327.66000000000003</c:v>
                </c:pt>
                <c:pt idx="254">
                  <c:v>327.82</c:v>
                </c:pt>
                <c:pt idx="255">
                  <c:v>327.99</c:v>
                </c:pt>
                <c:pt idx="256">
                  <c:v>328.16</c:v>
                </c:pt>
                <c:pt idx="257">
                  <c:v>328.33</c:v>
                </c:pt>
                <c:pt idx="258">
                  <c:v>328.49</c:v>
                </c:pt>
                <c:pt idx="259">
                  <c:v>328.66</c:v>
                </c:pt>
                <c:pt idx="260">
                  <c:v>328.83</c:v>
                </c:pt>
                <c:pt idx="261">
                  <c:v>329</c:v>
                </c:pt>
                <c:pt idx="262">
                  <c:v>329.16</c:v>
                </c:pt>
                <c:pt idx="263">
                  <c:v>329.33</c:v>
                </c:pt>
                <c:pt idx="264">
                  <c:v>329.5</c:v>
                </c:pt>
                <c:pt idx="265">
                  <c:v>329.67</c:v>
                </c:pt>
                <c:pt idx="266">
                  <c:v>329.84</c:v>
                </c:pt>
                <c:pt idx="267">
                  <c:v>330.01</c:v>
                </c:pt>
                <c:pt idx="268">
                  <c:v>330.17</c:v>
                </c:pt>
                <c:pt idx="269">
                  <c:v>330.34</c:v>
                </c:pt>
                <c:pt idx="270">
                  <c:v>330.51</c:v>
                </c:pt>
                <c:pt idx="271">
                  <c:v>330.68</c:v>
                </c:pt>
                <c:pt idx="272">
                  <c:v>330.85</c:v>
                </c:pt>
                <c:pt idx="273">
                  <c:v>331.02</c:v>
                </c:pt>
                <c:pt idx="274">
                  <c:v>331.19</c:v>
                </c:pt>
                <c:pt idx="275">
                  <c:v>331.35</c:v>
                </c:pt>
                <c:pt idx="276">
                  <c:v>331.52</c:v>
                </c:pt>
                <c:pt idx="277">
                  <c:v>331.69</c:v>
                </c:pt>
                <c:pt idx="278">
                  <c:v>331.86</c:v>
                </c:pt>
                <c:pt idx="279">
                  <c:v>332.03</c:v>
                </c:pt>
                <c:pt idx="280">
                  <c:v>332.2</c:v>
                </c:pt>
                <c:pt idx="281">
                  <c:v>332.37</c:v>
                </c:pt>
                <c:pt idx="282">
                  <c:v>332.54</c:v>
                </c:pt>
                <c:pt idx="283">
                  <c:v>332.71</c:v>
                </c:pt>
                <c:pt idx="284">
                  <c:v>332.88</c:v>
                </c:pt>
                <c:pt idx="285">
                  <c:v>333.05</c:v>
                </c:pt>
                <c:pt idx="286">
                  <c:v>333.22</c:v>
                </c:pt>
                <c:pt idx="287">
                  <c:v>333.39</c:v>
                </c:pt>
                <c:pt idx="288">
                  <c:v>333.56</c:v>
                </c:pt>
                <c:pt idx="289">
                  <c:v>333.73</c:v>
                </c:pt>
                <c:pt idx="290">
                  <c:v>333.9</c:v>
                </c:pt>
                <c:pt idx="291">
                  <c:v>334.07</c:v>
                </c:pt>
                <c:pt idx="292">
                  <c:v>334.24</c:v>
                </c:pt>
                <c:pt idx="293">
                  <c:v>334.41</c:v>
                </c:pt>
                <c:pt idx="294">
                  <c:v>334.58</c:v>
                </c:pt>
                <c:pt idx="295">
                  <c:v>334.75</c:v>
                </c:pt>
                <c:pt idx="296">
                  <c:v>334.92</c:v>
                </c:pt>
                <c:pt idx="297">
                  <c:v>335.09</c:v>
                </c:pt>
                <c:pt idx="298">
                  <c:v>335.26</c:v>
                </c:pt>
                <c:pt idx="299">
                  <c:v>335.43</c:v>
                </c:pt>
                <c:pt idx="300">
                  <c:v>335.61</c:v>
                </c:pt>
                <c:pt idx="301">
                  <c:v>335.78</c:v>
                </c:pt>
                <c:pt idx="302">
                  <c:v>335.95</c:v>
                </c:pt>
                <c:pt idx="303">
                  <c:v>336.12</c:v>
                </c:pt>
                <c:pt idx="304">
                  <c:v>336.29</c:v>
                </c:pt>
                <c:pt idx="305">
                  <c:v>336.46</c:v>
                </c:pt>
                <c:pt idx="306">
                  <c:v>336.63</c:v>
                </c:pt>
                <c:pt idx="307">
                  <c:v>336.81</c:v>
                </c:pt>
                <c:pt idx="308">
                  <c:v>336.98</c:v>
                </c:pt>
                <c:pt idx="309">
                  <c:v>337.15</c:v>
                </c:pt>
                <c:pt idx="310">
                  <c:v>337.32</c:v>
                </c:pt>
                <c:pt idx="311">
                  <c:v>337.49</c:v>
                </c:pt>
                <c:pt idx="312">
                  <c:v>337.67</c:v>
                </c:pt>
                <c:pt idx="313">
                  <c:v>337.84</c:v>
                </c:pt>
                <c:pt idx="314">
                  <c:v>338.01</c:v>
                </c:pt>
                <c:pt idx="315">
                  <c:v>338.18</c:v>
                </c:pt>
                <c:pt idx="316">
                  <c:v>338.35</c:v>
                </c:pt>
                <c:pt idx="317">
                  <c:v>338.53</c:v>
                </c:pt>
                <c:pt idx="318">
                  <c:v>338.7</c:v>
                </c:pt>
                <c:pt idx="319">
                  <c:v>338.87</c:v>
                </c:pt>
                <c:pt idx="320">
                  <c:v>339.05</c:v>
                </c:pt>
                <c:pt idx="321">
                  <c:v>339.22</c:v>
                </c:pt>
                <c:pt idx="322">
                  <c:v>339.39</c:v>
                </c:pt>
                <c:pt idx="323">
                  <c:v>339.56</c:v>
                </c:pt>
                <c:pt idx="324">
                  <c:v>339.74</c:v>
                </c:pt>
                <c:pt idx="325">
                  <c:v>339.91</c:v>
                </c:pt>
                <c:pt idx="326">
                  <c:v>340.08</c:v>
                </c:pt>
                <c:pt idx="327">
                  <c:v>340.26</c:v>
                </c:pt>
                <c:pt idx="328">
                  <c:v>340.43</c:v>
                </c:pt>
                <c:pt idx="329">
                  <c:v>340.6</c:v>
                </c:pt>
                <c:pt idx="330">
                  <c:v>340.78</c:v>
                </c:pt>
                <c:pt idx="331">
                  <c:v>340.95</c:v>
                </c:pt>
                <c:pt idx="332">
                  <c:v>341.13</c:v>
                </c:pt>
                <c:pt idx="333">
                  <c:v>341.3</c:v>
                </c:pt>
                <c:pt idx="334">
                  <c:v>341.47</c:v>
                </c:pt>
                <c:pt idx="335">
                  <c:v>341.65</c:v>
                </c:pt>
                <c:pt idx="336">
                  <c:v>341.82</c:v>
                </c:pt>
                <c:pt idx="337">
                  <c:v>342</c:v>
                </c:pt>
                <c:pt idx="338">
                  <c:v>342.17</c:v>
                </c:pt>
                <c:pt idx="339">
                  <c:v>342.35</c:v>
                </c:pt>
                <c:pt idx="340">
                  <c:v>342.52</c:v>
                </c:pt>
                <c:pt idx="341">
                  <c:v>342.7</c:v>
                </c:pt>
                <c:pt idx="342">
                  <c:v>342.87</c:v>
                </c:pt>
                <c:pt idx="343">
                  <c:v>343.05</c:v>
                </c:pt>
                <c:pt idx="344">
                  <c:v>343.22</c:v>
                </c:pt>
                <c:pt idx="345">
                  <c:v>343.4</c:v>
                </c:pt>
                <c:pt idx="346">
                  <c:v>343.57</c:v>
                </c:pt>
                <c:pt idx="347">
                  <c:v>343.75</c:v>
                </c:pt>
                <c:pt idx="348">
                  <c:v>343.92</c:v>
                </c:pt>
                <c:pt idx="349">
                  <c:v>344.1</c:v>
                </c:pt>
                <c:pt idx="350">
                  <c:v>344.27</c:v>
                </c:pt>
                <c:pt idx="351">
                  <c:v>344.45</c:v>
                </c:pt>
                <c:pt idx="352">
                  <c:v>344.62</c:v>
                </c:pt>
                <c:pt idx="353">
                  <c:v>344.8</c:v>
                </c:pt>
                <c:pt idx="354">
                  <c:v>344.97</c:v>
                </c:pt>
                <c:pt idx="355">
                  <c:v>345.15</c:v>
                </c:pt>
                <c:pt idx="356">
                  <c:v>345.33</c:v>
                </c:pt>
                <c:pt idx="357">
                  <c:v>345.5</c:v>
                </c:pt>
                <c:pt idx="358">
                  <c:v>345.68</c:v>
                </c:pt>
                <c:pt idx="359">
                  <c:v>345.86</c:v>
                </c:pt>
                <c:pt idx="360">
                  <c:v>346.03</c:v>
                </c:pt>
                <c:pt idx="361">
                  <c:v>346.21</c:v>
                </c:pt>
                <c:pt idx="362">
                  <c:v>346.38</c:v>
                </c:pt>
                <c:pt idx="363">
                  <c:v>346.56</c:v>
                </c:pt>
                <c:pt idx="364">
                  <c:v>346.74</c:v>
                </c:pt>
                <c:pt idx="365">
                  <c:v>346.92</c:v>
                </c:pt>
                <c:pt idx="366">
                  <c:v>347.09</c:v>
                </c:pt>
                <c:pt idx="367">
                  <c:v>347.27</c:v>
                </c:pt>
                <c:pt idx="368">
                  <c:v>347.45</c:v>
                </c:pt>
                <c:pt idx="369">
                  <c:v>347.62</c:v>
                </c:pt>
                <c:pt idx="370">
                  <c:v>347.8</c:v>
                </c:pt>
                <c:pt idx="371">
                  <c:v>347.98</c:v>
                </c:pt>
                <c:pt idx="372">
                  <c:v>348.16</c:v>
                </c:pt>
                <c:pt idx="373">
                  <c:v>348.33</c:v>
                </c:pt>
                <c:pt idx="374">
                  <c:v>348.51</c:v>
                </c:pt>
                <c:pt idx="375">
                  <c:v>348.69</c:v>
                </c:pt>
                <c:pt idx="376">
                  <c:v>348.87</c:v>
                </c:pt>
                <c:pt idx="377">
                  <c:v>349.04</c:v>
                </c:pt>
                <c:pt idx="378">
                  <c:v>349.22</c:v>
                </c:pt>
                <c:pt idx="379">
                  <c:v>349.4</c:v>
                </c:pt>
                <c:pt idx="380">
                  <c:v>349.58</c:v>
                </c:pt>
                <c:pt idx="381">
                  <c:v>349.76</c:v>
                </c:pt>
                <c:pt idx="382">
                  <c:v>349.94</c:v>
                </c:pt>
                <c:pt idx="383">
                  <c:v>350.11</c:v>
                </c:pt>
                <c:pt idx="384">
                  <c:v>350.29</c:v>
                </c:pt>
                <c:pt idx="385">
                  <c:v>350.47</c:v>
                </c:pt>
                <c:pt idx="386">
                  <c:v>350.65</c:v>
                </c:pt>
                <c:pt idx="387">
                  <c:v>350.83</c:v>
                </c:pt>
                <c:pt idx="388">
                  <c:v>351.01</c:v>
                </c:pt>
                <c:pt idx="389">
                  <c:v>351.19</c:v>
                </c:pt>
                <c:pt idx="390">
                  <c:v>351.37</c:v>
                </c:pt>
                <c:pt idx="391">
                  <c:v>351.55</c:v>
                </c:pt>
                <c:pt idx="392">
                  <c:v>351.72</c:v>
                </c:pt>
                <c:pt idx="393">
                  <c:v>351.9</c:v>
                </c:pt>
                <c:pt idx="394">
                  <c:v>352.08</c:v>
                </c:pt>
                <c:pt idx="395">
                  <c:v>352.26</c:v>
                </c:pt>
                <c:pt idx="396">
                  <c:v>352.44</c:v>
                </c:pt>
                <c:pt idx="397">
                  <c:v>352.62</c:v>
                </c:pt>
                <c:pt idx="398">
                  <c:v>352.8</c:v>
                </c:pt>
                <c:pt idx="399">
                  <c:v>352.98</c:v>
                </c:pt>
                <c:pt idx="400">
                  <c:v>353.16</c:v>
                </c:pt>
                <c:pt idx="401">
                  <c:v>353.34</c:v>
                </c:pt>
                <c:pt idx="402">
                  <c:v>353.52</c:v>
                </c:pt>
                <c:pt idx="403">
                  <c:v>353.7</c:v>
                </c:pt>
                <c:pt idx="404">
                  <c:v>353.88</c:v>
                </c:pt>
                <c:pt idx="405">
                  <c:v>354.06</c:v>
                </c:pt>
                <c:pt idx="406">
                  <c:v>354.24</c:v>
                </c:pt>
                <c:pt idx="407">
                  <c:v>354.43</c:v>
                </c:pt>
                <c:pt idx="408">
                  <c:v>354.61</c:v>
                </c:pt>
                <c:pt idx="409">
                  <c:v>354.79</c:v>
                </c:pt>
                <c:pt idx="410">
                  <c:v>354.97</c:v>
                </c:pt>
                <c:pt idx="411">
                  <c:v>355.15</c:v>
                </c:pt>
                <c:pt idx="412">
                  <c:v>355.33</c:v>
                </c:pt>
                <c:pt idx="413">
                  <c:v>355.51</c:v>
                </c:pt>
                <c:pt idx="414">
                  <c:v>355.69</c:v>
                </c:pt>
                <c:pt idx="415">
                  <c:v>355.87</c:v>
                </c:pt>
                <c:pt idx="416">
                  <c:v>356.06</c:v>
                </c:pt>
                <c:pt idx="417">
                  <c:v>356.24</c:v>
                </c:pt>
                <c:pt idx="418">
                  <c:v>356.42</c:v>
                </c:pt>
                <c:pt idx="419">
                  <c:v>356.6</c:v>
                </c:pt>
                <c:pt idx="420">
                  <c:v>356.78</c:v>
                </c:pt>
                <c:pt idx="421">
                  <c:v>356.96</c:v>
                </c:pt>
                <c:pt idx="422">
                  <c:v>357.15</c:v>
                </c:pt>
                <c:pt idx="423">
                  <c:v>357.33</c:v>
                </c:pt>
                <c:pt idx="424">
                  <c:v>357.51</c:v>
                </c:pt>
                <c:pt idx="425">
                  <c:v>357.69</c:v>
                </c:pt>
                <c:pt idx="426">
                  <c:v>357.88</c:v>
                </c:pt>
                <c:pt idx="427">
                  <c:v>358.06</c:v>
                </c:pt>
                <c:pt idx="428">
                  <c:v>358.24</c:v>
                </c:pt>
                <c:pt idx="429">
                  <c:v>358.42</c:v>
                </c:pt>
                <c:pt idx="430">
                  <c:v>358.61</c:v>
                </c:pt>
                <c:pt idx="431">
                  <c:v>358.79</c:v>
                </c:pt>
                <c:pt idx="432">
                  <c:v>358.97</c:v>
                </c:pt>
                <c:pt idx="433">
                  <c:v>359.16</c:v>
                </c:pt>
                <c:pt idx="434">
                  <c:v>359.34</c:v>
                </c:pt>
                <c:pt idx="435">
                  <c:v>359.52</c:v>
                </c:pt>
                <c:pt idx="436">
                  <c:v>359.71</c:v>
                </c:pt>
                <c:pt idx="437">
                  <c:v>359.89</c:v>
                </c:pt>
                <c:pt idx="438">
                  <c:v>360.07</c:v>
                </c:pt>
                <c:pt idx="439">
                  <c:v>360.26</c:v>
                </c:pt>
                <c:pt idx="440">
                  <c:v>360.44</c:v>
                </c:pt>
                <c:pt idx="441">
                  <c:v>360.62</c:v>
                </c:pt>
                <c:pt idx="442">
                  <c:v>360.81</c:v>
                </c:pt>
                <c:pt idx="443">
                  <c:v>360.99</c:v>
                </c:pt>
                <c:pt idx="444">
                  <c:v>361.18</c:v>
                </c:pt>
                <c:pt idx="445">
                  <c:v>361.36</c:v>
                </c:pt>
                <c:pt idx="446">
                  <c:v>361.54</c:v>
                </c:pt>
                <c:pt idx="447">
                  <c:v>361.73</c:v>
                </c:pt>
                <c:pt idx="448">
                  <c:v>361.91</c:v>
                </c:pt>
                <c:pt idx="449">
                  <c:v>362.1</c:v>
                </c:pt>
                <c:pt idx="450">
                  <c:v>362.28</c:v>
                </c:pt>
                <c:pt idx="451">
                  <c:v>362.47</c:v>
                </c:pt>
                <c:pt idx="452">
                  <c:v>362.65</c:v>
                </c:pt>
                <c:pt idx="453">
                  <c:v>362.84</c:v>
                </c:pt>
                <c:pt idx="454">
                  <c:v>363.02</c:v>
                </c:pt>
                <c:pt idx="455">
                  <c:v>363.21</c:v>
                </c:pt>
                <c:pt idx="456">
                  <c:v>363.39</c:v>
                </c:pt>
                <c:pt idx="457">
                  <c:v>363.58</c:v>
                </c:pt>
                <c:pt idx="458">
                  <c:v>363.76</c:v>
                </c:pt>
                <c:pt idx="459">
                  <c:v>363.95</c:v>
                </c:pt>
                <c:pt idx="460">
                  <c:v>364.13</c:v>
                </c:pt>
                <c:pt idx="461">
                  <c:v>364.32</c:v>
                </c:pt>
                <c:pt idx="462">
                  <c:v>364.51</c:v>
                </c:pt>
                <c:pt idx="463">
                  <c:v>364.69</c:v>
                </c:pt>
                <c:pt idx="464">
                  <c:v>364.88</c:v>
                </c:pt>
                <c:pt idx="465">
                  <c:v>365.06</c:v>
                </c:pt>
                <c:pt idx="466">
                  <c:v>365.25</c:v>
                </c:pt>
                <c:pt idx="467">
                  <c:v>365.44</c:v>
                </c:pt>
                <c:pt idx="468">
                  <c:v>365.62</c:v>
                </c:pt>
                <c:pt idx="469">
                  <c:v>365.81</c:v>
                </c:pt>
                <c:pt idx="470">
                  <c:v>366</c:v>
                </c:pt>
                <c:pt idx="471">
                  <c:v>366.18</c:v>
                </c:pt>
                <c:pt idx="472">
                  <c:v>366.37</c:v>
                </c:pt>
                <c:pt idx="473">
                  <c:v>366.56</c:v>
                </c:pt>
                <c:pt idx="474">
                  <c:v>366.74</c:v>
                </c:pt>
                <c:pt idx="475">
                  <c:v>366.93</c:v>
                </c:pt>
                <c:pt idx="476">
                  <c:v>367.12</c:v>
                </c:pt>
                <c:pt idx="477">
                  <c:v>367.3</c:v>
                </c:pt>
                <c:pt idx="478">
                  <c:v>367.49</c:v>
                </c:pt>
                <c:pt idx="479">
                  <c:v>367.68</c:v>
                </c:pt>
                <c:pt idx="480">
                  <c:v>367.87</c:v>
                </c:pt>
                <c:pt idx="481">
                  <c:v>368.05</c:v>
                </c:pt>
                <c:pt idx="482">
                  <c:v>368.24</c:v>
                </c:pt>
                <c:pt idx="483">
                  <c:v>368.43</c:v>
                </c:pt>
                <c:pt idx="484">
                  <c:v>368.62</c:v>
                </c:pt>
                <c:pt idx="485">
                  <c:v>368.81</c:v>
                </c:pt>
                <c:pt idx="486">
                  <c:v>368.99</c:v>
                </c:pt>
                <c:pt idx="487">
                  <c:v>369.18</c:v>
                </c:pt>
                <c:pt idx="488">
                  <c:v>369.37</c:v>
                </c:pt>
                <c:pt idx="489">
                  <c:v>369.56</c:v>
                </c:pt>
                <c:pt idx="490">
                  <c:v>369.75</c:v>
                </c:pt>
                <c:pt idx="491">
                  <c:v>369.94</c:v>
                </c:pt>
                <c:pt idx="492">
                  <c:v>370.12</c:v>
                </c:pt>
                <c:pt idx="493">
                  <c:v>370.31</c:v>
                </c:pt>
                <c:pt idx="494">
                  <c:v>370.5</c:v>
                </c:pt>
                <c:pt idx="495">
                  <c:v>370.69</c:v>
                </c:pt>
                <c:pt idx="496">
                  <c:v>370.88</c:v>
                </c:pt>
                <c:pt idx="497">
                  <c:v>371.07</c:v>
                </c:pt>
                <c:pt idx="498">
                  <c:v>371.26</c:v>
                </c:pt>
                <c:pt idx="499">
                  <c:v>371.45</c:v>
                </c:pt>
                <c:pt idx="500">
                  <c:v>371.64</c:v>
                </c:pt>
                <c:pt idx="501">
                  <c:v>371.83</c:v>
                </c:pt>
                <c:pt idx="502">
                  <c:v>372.02</c:v>
                </c:pt>
                <c:pt idx="503">
                  <c:v>372.21</c:v>
                </c:pt>
                <c:pt idx="504">
                  <c:v>372.4</c:v>
                </c:pt>
                <c:pt idx="505">
                  <c:v>372.59</c:v>
                </c:pt>
                <c:pt idx="506">
                  <c:v>372.78</c:v>
                </c:pt>
                <c:pt idx="507">
                  <c:v>372.97</c:v>
                </c:pt>
                <c:pt idx="508">
                  <c:v>373.16</c:v>
                </c:pt>
                <c:pt idx="509">
                  <c:v>373.35</c:v>
                </c:pt>
                <c:pt idx="510">
                  <c:v>373.54</c:v>
                </c:pt>
                <c:pt idx="511">
                  <c:v>373.73</c:v>
                </c:pt>
                <c:pt idx="512">
                  <c:v>373.92</c:v>
                </c:pt>
                <c:pt idx="513">
                  <c:v>374.11</c:v>
                </c:pt>
                <c:pt idx="514">
                  <c:v>374.3</c:v>
                </c:pt>
                <c:pt idx="515">
                  <c:v>374.49</c:v>
                </c:pt>
                <c:pt idx="516">
                  <c:v>374.68</c:v>
                </c:pt>
                <c:pt idx="517">
                  <c:v>374.87</c:v>
                </c:pt>
                <c:pt idx="518">
                  <c:v>375.06</c:v>
                </c:pt>
                <c:pt idx="519">
                  <c:v>375.26</c:v>
                </c:pt>
                <c:pt idx="520">
                  <c:v>375.45</c:v>
                </c:pt>
                <c:pt idx="521">
                  <c:v>375.64</c:v>
                </c:pt>
                <c:pt idx="522">
                  <c:v>375.83</c:v>
                </c:pt>
                <c:pt idx="523">
                  <c:v>376.02</c:v>
                </c:pt>
                <c:pt idx="524">
                  <c:v>376.21</c:v>
                </c:pt>
                <c:pt idx="525">
                  <c:v>376.41</c:v>
                </c:pt>
                <c:pt idx="526">
                  <c:v>376.6</c:v>
                </c:pt>
                <c:pt idx="527">
                  <c:v>376.79</c:v>
                </c:pt>
                <c:pt idx="528">
                  <c:v>376.98</c:v>
                </c:pt>
                <c:pt idx="529">
                  <c:v>377.17</c:v>
                </c:pt>
                <c:pt idx="530">
                  <c:v>377.37</c:v>
                </c:pt>
                <c:pt idx="531">
                  <c:v>377.56</c:v>
                </c:pt>
                <c:pt idx="532">
                  <c:v>377.75</c:v>
                </c:pt>
                <c:pt idx="533">
                  <c:v>377.94</c:v>
                </c:pt>
                <c:pt idx="534">
                  <c:v>378.14</c:v>
                </c:pt>
                <c:pt idx="535">
                  <c:v>378.33</c:v>
                </c:pt>
                <c:pt idx="536">
                  <c:v>378.52</c:v>
                </c:pt>
                <c:pt idx="537">
                  <c:v>378.72</c:v>
                </c:pt>
                <c:pt idx="538">
                  <c:v>378.91</c:v>
                </c:pt>
                <c:pt idx="539">
                  <c:v>379.1</c:v>
                </c:pt>
                <c:pt idx="540">
                  <c:v>379.3</c:v>
                </c:pt>
                <c:pt idx="541">
                  <c:v>379.49</c:v>
                </c:pt>
                <c:pt idx="542">
                  <c:v>379.68</c:v>
                </c:pt>
                <c:pt idx="543">
                  <c:v>379.88</c:v>
                </c:pt>
                <c:pt idx="544">
                  <c:v>380.07</c:v>
                </c:pt>
                <c:pt idx="545">
                  <c:v>380.26</c:v>
                </c:pt>
                <c:pt idx="546">
                  <c:v>380.46</c:v>
                </c:pt>
                <c:pt idx="547">
                  <c:v>380.65</c:v>
                </c:pt>
                <c:pt idx="548">
                  <c:v>380.85</c:v>
                </c:pt>
                <c:pt idx="549">
                  <c:v>381.04</c:v>
                </c:pt>
                <c:pt idx="550">
                  <c:v>381.23</c:v>
                </c:pt>
                <c:pt idx="551">
                  <c:v>381.43</c:v>
                </c:pt>
                <c:pt idx="552">
                  <c:v>381.62</c:v>
                </c:pt>
                <c:pt idx="553">
                  <c:v>381.82</c:v>
                </c:pt>
                <c:pt idx="554">
                  <c:v>382.01</c:v>
                </c:pt>
                <c:pt idx="555">
                  <c:v>382.21</c:v>
                </c:pt>
                <c:pt idx="556">
                  <c:v>382.4</c:v>
                </c:pt>
                <c:pt idx="557">
                  <c:v>382.6</c:v>
                </c:pt>
                <c:pt idx="558">
                  <c:v>382.79</c:v>
                </c:pt>
                <c:pt idx="559">
                  <c:v>382.99</c:v>
                </c:pt>
                <c:pt idx="560">
                  <c:v>383.18</c:v>
                </c:pt>
                <c:pt idx="561">
                  <c:v>383.38</c:v>
                </c:pt>
                <c:pt idx="562">
                  <c:v>383.57</c:v>
                </c:pt>
                <c:pt idx="563">
                  <c:v>383.77</c:v>
                </c:pt>
                <c:pt idx="564">
                  <c:v>383.97</c:v>
                </c:pt>
                <c:pt idx="565">
                  <c:v>384.16</c:v>
                </c:pt>
                <c:pt idx="566">
                  <c:v>384.36</c:v>
                </c:pt>
                <c:pt idx="567">
                  <c:v>384.55</c:v>
                </c:pt>
                <c:pt idx="568">
                  <c:v>384.75</c:v>
                </c:pt>
                <c:pt idx="569">
                  <c:v>384.95</c:v>
                </c:pt>
                <c:pt idx="570">
                  <c:v>385.14</c:v>
                </c:pt>
                <c:pt idx="571">
                  <c:v>385.34</c:v>
                </c:pt>
                <c:pt idx="572">
                  <c:v>385.54</c:v>
                </c:pt>
                <c:pt idx="573">
                  <c:v>385.73</c:v>
                </c:pt>
                <c:pt idx="574">
                  <c:v>385.93</c:v>
                </c:pt>
                <c:pt idx="575">
                  <c:v>386.13</c:v>
                </c:pt>
                <c:pt idx="576">
                  <c:v>386.32</c:v>
                </c:pt>
                <c:pt idx="577">
                  <c:v>386.52</c:v>
                </c:pt>
                <c:pt idx="578">
                  <c:v>386.72</c:v>
                </c:pt>
                <c:pt idx="579">
                  <c:v>386.91</c:v>
                </c:pt>
                <c:pt idx="580">
                  <c:v>387.11</c:v>
                </c:pt>
                <c:pt idx="581">
                  <c:v>387.31</c:v>
                </c:pt>
                <c:pt idx="582">
                  <c:v>387.51</c:v>
                </c:pt>
                <c:pt idx="583">
                  <c:v>387.7</c:v>
                </c:pt>
                <c:pt idx="584">
                  <c:v>387.9</c:v>
                </c:pt>
                <c:pt idx="585">
                  <c:v>388.1</c:v>
                </c:pt>
                <c:pt idx="586">
                  <c:v>388.3</c:v>
                </c:pt>
                <c:pt idx="587">
                  <c:v>388.5</c:v>
                </c:pt>
                <c:pt idx="588">
                  <c:v>388.69</c:v>
                </c:pt>
                <c:pt idx="589">
                  <c:v>388.89</c:v>
                </c:pt>
                <c:pt idx="590">
                  <c:v>389.09</c:v>
                </c:pt>
                <c:pt idx="591">
                  <c:v>389.29</c:v>
                </c:pt>
                <c:pt idx="592">
                  <c:v>389.49</c:v>
                </c:pt>
                <c:pt idx="593">
                  <c:v>389.69</c:v>
                </c:pt>
                <c:pt idx="594">
                  <c:v>389.88</c:v>
                </c:pt>
                <c:pt idx="595">
                  <c:v>390.08</c:v>
                </c:pt>
                <c:pt idx="596">
                  <c:v>390.28</c:v>
                </c:pt>
                <c:pt idx="597">
                  <c:v>390.48</c:v>
                </c:pt>
                <c:pt idx="598">
                  <c:v>390.68</c:v>
                </c:pt>
                <c:pt idx="599">
                  <c:v>390.88</c:v>
                </c:pt>
                <c:pt idx="600">
                  <c:v>391.08</c:v>
                </c:pt>
              </c:numCache>
            </c:numRef>
          </c:xVal>
          <c:yVal>
            <c:numRef>
              <c:f>uniform!$A$3:$A$603</c:f>
              <c:numCache>
                <c:formatCode>General</c:formatCode>
                <c:ptCount val="60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  <c:pt idx="25">
                  <c:v>1250</c:v>
                </c:pt>
                <c:pt idx="26">
                  <c:v>1300</c:v>
                </c:pt>
                <c:pt idx="27">
                  <c:v>1350</c:v>
                </c:pt>
                <c:pt idx="28">
                  <c:v>1400</c:v>
                </c:pt>
                <c:pt idx="29">
                  <c:v>1450</c:v>
                </c:pt>
                <c:pt idx="30">
                  <c:v>1500</c:v>
                </c:pt>
                <c:pt idx="31">
                  <c:v>1550</c:v>
                </c:pt>
                <c:pt idx="32">
                  <c:v>1600</c:v>
                </c:pt>
                <c:pt idx="33">
                  <c:v>1650</c:v>
                </c:pt>
                <c:pt idx="34">
                  <c:v>1700</c:v>
                </c:pt>
                <c:pt idx="35">
                  <c:v>1750</c:v>
                </c:pt>
                <c:pt idx="36">
                  <c:v>1800</c:v>
                </c:pt>
                <c:pt idx="37">
                  <c:v>1850</c:v>
                </c:pt>
                <c:pt idx="38">
                  <c:v>1900</c:v>
                </c:pt>
                <c:pt idx="39">
                  <c:v>1950</c:v>
                </c:pt>
                <c:pt idx="40">
                  <c:v>2000</c:v>
                </c:pt>
                <c:pt idx="41">
                  <c:v>2050</c:v>
                </c:pt>
                <c:pt idx="42">
                  <c:v>2100</c:v>
                </c:pt>
                <c:pt idx="43">
                  <c:v>2150</c:v>
                </c:pt>
                <c:pt idx="44">
                  <c:v>2200</c:v>
                </c:pt>
                <c:pt idx="45">
                  <c:v>2250</c:v>
                </c:pt>
                <c:pt idx="46">
                  <c:v>2300</c:v>
                </c:pt>
                <c:pt idx="47">
                  <c:v>2350</c:v>
                </c:pt>
                <c:pt idx="48">
                  <c:v>2400</c:v>
                </c:pt>
                <c:pt idx="49">
                  <c:v>2450</c:v>
                </c:pt>
                <c:pt idx="50">
                  <c:v>2500</c:v>
                </c:pt>
                <c:pt idx="51">
                  <c:v>2550</c:v>
                </c:pt>
                <c:pt idx="52">
                  <c:v>2600</c:v>
                </c:pt>
                <c:pt idx="53">
                  <c:v>2650</c:v>
                </c:pt>
                <c:pt idx="54">
                  <c:v>2700</c:v>
                </c:pt>
                <c:pt idx="55">
                  <c:v>2750</c:v>
                </c:pt>
                <c:pt idx="56">
                  <c:v>2800</c:v>
                </c:pt>
                <c:pt idx="57">
                  <c:v>2850</c:v>
                </c:pt>
                <c:pt idx="58">
                  <c:v>2900</c:v>
                </c:pt>
                <c:pt idx="59">
                  <c:v>2950</c:v>
                </c:pt>
                <c:pt idx="60">
                  <c:v>3000</c:v>
                </c:pt>
                <c:pt idx="61">
                  <c:v>3050</c:v>
                </c:pt>
                <c:pt idx="62">
                  <c:v>3100</c:v>
                </c:pt>
                <c:pt idx="63">
                  <c:v>3150</c:v>
                </c:pt>
                <c:pt idx="64">
                  <c:v>3200</c:v>
                </c:pt>
                <c:pt idx="65">
                  <c:v>3250</c:v>
                </c:pt>
                <c:pt idx="66">
                  <c:v>3300</c:v>
                </c:pt>
                <c:pt idx="67">
                  <c:v>3350</c:v>
                </c:pt>
                <c:pt idx="68">
                  <c:v>3400</c:v>
                </c:pt>
                <c:pt idx="69">
                  <c:v>3450</c:v>
                </c:pt>
                <c:pt idx="70">
                  <c:v>3500</c:v>
                </c:pt>
                <c:pt idx="71">
                  <c:v>3550</c:v>
                </c:pt>
                <c:pt idx="72">
                  <c:v>3600</c:v>
                </c:pt>
                <c:pt idx="73">
                  <c:v>3650</c:v>
                </c:pt>
                <c:pt idx="74">
                  <c:v>3700</c:v>
                </c:pt>
                <c:pt idx="75">
                  <c:v>3750</c:v>
                </c:pt>
                <c:pt idx="76">
                  <c:v>3800</c:v>
                </c:pt>
                <c:pt idx="77">
                  <c:v>3850</c:v>
                </c:pt>
                <c:pt idx="78">
                  <c:v>3900</c:v>
                </c:pt>
                <c:pt idx="79">
                  <c:v>3950</c:v>
                </c:pt>
                <c:pt idx="80">
                  <c:v>4000</c:v>
                </c:pt>
                <c:pt idx="81">
                  <c:v>4050</c:v>
                </c:pt>
                <c:pt idx="82">
                  <c:v>4100</c:v>
                </c:pt>
                <c:pt idx="83">
                  <c:v>4150</c:v>
                </c:pt>
                <c:pt idx="84">
                  <c:v>4200</c:v>
                </c:pt>
                <c:pt idx="85">
                  <c:v>4250</c:v>
                </c:pt>
                <c:pt idx="86">
                  <c:v>4300</c:v>
                </c:pt>
                <c:pt idx="87">
                  <c:v>4350</c:v>
                </c:pt>
                <c:pt idx="88">
                  <c:v>4400</c:v>
                </c:pt>
                <c:pt idx="89">
                  <c:v>4450</c:v>
                </c:pt>
                <c:pt idx="90">
                  <c:v>4500</c:v>
                </c:pt>
                <c:pt idx="91">
                  <c:v>4550</c:v>
                </c:pt>
                <c:pt idx="92">
                  <c:v>4600</c:v>
                </c:pt>
                <c:pt idx="93">
                  <c:v>4650</c:v>
                </c:pt>
                <c:pt idx="94">
                  <c:v>4700</c:v>
                </c:pt>
                <c:pt idx="95">
                  <c:v>4750</c:v>
                </c:pt>
                <c:pt idx="96">
                  <c:v>4800</c:v>
                </c:pt>
                <c:pt idx="97">
                  <c:v>4850</c:v>
                </c:pt>
                <c:pt idx="98">
                  <c:v>4900</c:v>
                </c:pt>
                <c:pt idx="99">
                  <c:v>4950</c:v>
                </c:pt>
                <c:pt idx="100">
                  <c:v>5000</c:v>
                </c:pt>
                <c:pt idx="101">
                  <c:v>5050</c:v>
                </c:pt>
                <c:pt idx="102">
                  <c:v>5100</c:v>
                </c:pt>
                <c:pt idx="103">
                  <c:v>5150</c:v>
                </c:pt>
                <c:pt idx="104">
                  <c:v>5200</c:v>
                </c:pt>
                <c:pt idx="105">
                  <c:v>5250</c:v>
                </c:pt>
                <c:pt idx="106">
                  <c:v>5300</c:v>
                </c:pt>
                <c:pt idx="107">
                  <c:v>5350</c:v>
                </c:pt>
                <c:pt idx="108">
                  <c:v>5400</c:v>
                </c:pt>
                <c:pt idx="109">
                  <c:v>5450</c:v>
                </c:pt>
                <c:pt idx="110">
                  <c:v>5500</c:v>
                </c:pt>
                <c:pt idx="111">
                  <c:v>5550</c:v>
                </c:pt>
                <c:pt idx="112">
                  <c:v>5600</c:v>
                </c:pt>
                <c:pt idx="113">
                  <c:v>5650</c:v>
                </c:pt>
                <c:pt idx="114">
                  <c:v>5700</c:v>
                </c:pt>
                <c:pt idx="115">
                  <c:v>5750</c:v>
                </c:pt>
                <c:pt idx="116">
                  <c:v>5800</c:v>
                </c:pt>
                <c:pt idx="117">
                  <c:v>5850</c:v>
                </c:pt>
                <c:pt idx="118">
                  <c:v>5900</c:v>
                </c:pt>
                <c:pt idx="119">
                  <c:v>5950</c:v>
                </c:pt>
                <c:pt idx="120">
                  <c:v>6000</c:v>
                </c:pt>
                <c:pt idx="121">
                  <c:v>6050</c:v>
                </c:pt>
                <c:pt idx="122">
                  <c:v>6100</c:v>
                </c:pt>
                <c:pt idx="123">
                  <c:v>6150</c:v>
                </c:pt>
                <c:pt idx="124">
                  <c:v>6200</c:v>
                </c:pt>
                <c:pt idx="125">
                  <c:v>6250</c:v>
                </c:pt>
                <c:pt idx="126">
                  <c:v>6300</c:v>
                </c:pt>
                <c:pt idx="127">
                  <c:v>6350</c:v>
                </c:pt>
                <c:pt idx="128">
                  <c:v>6400</c:v>
                </c:pt>
                <c:pt idx="129">
                  <c:v>6450</c:v>
                </c:pt>
                <c:pt idx="130">
                  <c:v>6500</c:v>
                </c:pt>
                <c:pt idx="131">
                  <c:v>6550</c:v>
                </c:pt>
                <c:pt idx="132">
                  <c:v>6600</c:v>
                </c:pt>
                <c:pt idx="133">
                  <c:v>6650</c:v>
                </c:pt>
                <c:pt idx="134">
                  <c:v>6700</c:v>
                </c:pt>
                <c:pt idx="135">
                  <c:v>6750</c:v>
                </c:pt>
                <c:pt idx="136">
                  <c:v>6800</c:v>
                </c:pt>
                <c:pt idx="137">
                  <c:v>6850</c:v>
                </c:pt>
                <c:pt idx="138">
                  <c:v>6900</c:v>
                </c:pt>
                <c:pt idx="139">
                  <c:v>6950</c:v>
                </c:pt>
                <c:pt idx="140">
                  <c:v>7000</c:v>
                </c:pt>
                <c:pt idx="141">
                  <c:v>7050</c:v>
                </c:pt>
                <c:pt idx="142">
                  <c:v>7100</c:v>
                </c:pt>
                <c:pt idx="143">
                  <c:v>7150</c:v>
                </c:pt>
                <c:pt idx="144">
                  <c:v>7200</c:v>
                </c:pt>
                <c:pt idx="145">
                  <c:v>7250</c:v>
                </c:pt>
                <c:pt idx="146">
                  <c:v>7300</c:v>
                </c:pt>
                <c:pt idx="147">
                  <c:v>7350</c:v>
                </c:pt>
                <c:pt idx="148">
                  <c:v>7400</c:v>
                </c:pt>
                <c:pt idx="149">
                  <c:v>7450</c:v>
                </c:pt>
                <c:pt idx="150">
                  <c:v>7500</c:v>
                </c:pt>
                <c:pt idx="151">
                  <c:v>7550</c:v>
                </c:pt>
                <c:pt idx="152">
                  <c:v>7600</c:v>
                </c:pt>
                <c:pt idx="153">
                  <c:v>7650</c:v>
                </c:pt>
                <c:pt idx="154">
                  <c:v>7700</c:v>
                </c:pt>
                <c:pt idx="155">
                  <c:v>7750</c:v>
                </c:pt>
                <c:pt idx="156">
                  <c:v>7800</c:v>
                </c:pt>
                <c:pt idx="157">
                  <c:v>7850</c:v>
                </c:pt>
                <c:pt idx="158">
                  <c:v>7900</c:v>
                </c:pt>
                <c:pt idx="159">
                  <c:v>7950</c:v>
                </c:pt>
                <c:pt idx="160">
                  <c:v>8000</c:v>
                </c:pt>
                <c:pt idx="161">
                  <c:v>8050</c:v>
                </c:pt>
                <c:pt idx="162">
                  <c:v>8100</c:v>
                </c:pt>
                <c:pt idx="163">
                  <c:v>8150</c:v>
                </c:pt>
                <c:pt idx="164">
                  <c:v>8200</c:v>
                </c:pt>
                <c:pt idx="165">
                  <c:v>8250</c:v>
                </c:pt>
                <c:pt idx="166">
                  <c:v>8300</c:v>
                </c:pt>
                <c:pt idx="167">
                  <c:v>8350</c:v>
                </c:pt>
                <c:pt idx="168">
                  <c:v>8400</c:v>
                </c:pt>
                <c:pt idx="169">
                  <c:v>8450</c:v>
                </c:pt>
                <c:pt idx="170">
                  <c:v>8500</c:v>
                </c:pt>
                <c:pt idx="171">
                  <c:v>8550</c:v>
                </c:pt>
                <c:pt idx="172">
                  <c:v>8600</c:v>
                </c:pt>
                <c:pt idx="173">
                  <c:v>8650</c:v>
                </c:pt>
                <c:pt idx="174">
                  <c:v>8700</c:v>
                </c:pt>
                <c:pt idx="175">
                  <c:v>8750</c:v>
                </c:pt>
                <c:pt idx="176">
                  <c:v>8800</c:v>
                </c:pt>
                <c:pt idx="177">
                  <c:v>8850</c:v>
                </c:pt>
                <c:pt idx="178">
                  <c:v>8900</c:v>
                </c:pt>
                <c:pt idx="179">
                  <c:v>8950</c:v>
                </c:pt>
                <c:pt idx="180">
                  <c:v>9000</c:v>
                </c:pt>
                <c:pt idx="181">
                  <c:v>9050</c:v>
                </c:pt>
                <c:pt idx="182">
                  <c:v>9100</c:v>
                </c:pt>
                <c:pt idx="183">
                  <c:v>9150</c:v>
                </c:pt>
                <c:pt idx="184">
                  <c:v>9200</c:v>
                </c:pt>
                <c:pt idx="185">
                  <c:v>9250</c:v>
                </c:pt>
                <c:pt idx="186">
                  <c:v>9300</c:v>
                </c:pt>
                <c:pt idx="187">
                  <c:v>9350</c:v>
                </c:pt>
                <c:pt idx="188">
                  <c:v>9400</c:v>
                </c:pt>
                <c:pt idx="189">
                  <c:v>9450</c:v>
                </c:pt>
                <c:pt idx="190">
                  <c:v>9500</c:v>
                </c:pt>
                <c:pt idx="191">
                  <c:v>9550</c:v>
                </c:pt>
                <c:pt idx="192">
                  <c:v>9600</c:v>
                </c:pt>
                <c:pt idx="193">
                  <c:v>9650</c:v>
                </c:pt>
                <c:pt idx="194">
                  <c:v>9700</c:v>
                </c:pt>
                <c:pt idx="195">
                  <c:v>9750</c:v>
                </c:pt>
                <c:pt idx="196">
                  <c:v>9800</c:v>
                </c:pt>
                <c:pt idx="197">
                  <c:v>9850</c:v>
                </c:pt>
                <c:pt idx="198">
                  <c:v>9900</c:v>
                </c:pt>
                <c:pt idx="199">
                  <c:v>9950</c:v>
                </c:pt>
                <c:pt idx="200">
                  <c:v>10000</c:v>
                </c:pt>
                <c:pt idx="201">
                  <c:v>10050</c:v>
                </c:pt>
                <c:pt idx="202">
                  <c:v>10100</c:v>
                </c:pt>
                <c:pt idx="203">
                  <c:v>10150</c:v>
                </c:pt>
                <c:pt idx="204">
                  <c:v>10200</c:v>
                </c:pt>
                <c:pt idx="205">
                  <c:v>10250</c:v>
                </c:pt>
                <c:pt idx="206">
                  <c:v>10300</c:v>
                </c:pt>
                <c:pt idx="207">
                  <c:v>10350</c:v>
                </c:pt>
                <c:pt idx="208">
                  <c:v>10400</c:v>
                </c:pt>
                <c:pt idx="209">
                  <c:v>10450</c:v>
                </c:pt>
                <c:pt idx="210">
                  <c:v>10500</c:v>
                </c:pt>
                <c:pt idx="211">
                  <c:v>10550</c:v>
                </c:pt>
                <c:pt idx="212">
                  <c:v>10600</c:v>
                </c:pt>
                <c:pt idx="213">
                  <c:v>10650</c:v>
                </c:pt>
                <c:pt idx="214">
                  <c:v>10700</c:v>
                </c:pt>
                <c:pt idx="215">
                  <c:v>10750</c:v>
                </c:pt>
                <c:pt idx="216">
                  <c:v>10800</c:v>
                </c:pt>
                <c:pt idx="217">
                  <c:v>10850</c:v>
                </c:pt>
                <c:pt idx="218">
                  <c:v>10900</c:v>
                </c:pt>
                <c:pt idx="219">
                  <c:v>10950</c:v>
                </c:pt>
                <c:pt idx="220">
                  <c:v>11000</c:v>
                </c:pt>
                <c:pt idx="221">
                  <c:v>11050</c:v>
                </c:pt>
                <c:pt idx="222">
                  <c:v>11100</c:v>
                </c:pt>
                <c:pt idx="223">
                  <c:v>11150</c:v>
                </c:pt>
                <c:pt idx="224">
                  <c:v>11200</c:v>
                </c:pt>
                <c:pt idx="225">
                  <c:v>11250</c:v>
                </c:pt>
                <c:pt idx="226">
                  <c:v>11300</c:v>
                </c:pt>
                <c:pt idx="227">
                  <c:v>11350</c:v>
                </c:pt>
                <c:pt idx="228">
                  <c:v>11400</c:v>
                </c:pt>
                <c:pt idx="229">
                  <c:v>11450</c:v>
                </c:pt>
                <c:pt idx="230">
                  <c:v>11500</c:v>
                </c:pt>
                <c:pt idx="231">
                  <c:v>11550</c:v>
                </c:pt>
                <c:pt idx="232">
                  <c:v>11600</c:v>
                </c:pt>
                <c:pt idx="233">
                  <c:v>11650</c:v>
                </c:pt>
                <c:pt idx="234">
                  <c:v>11700</c:v>
                </c:pt>
                <c:pt idx="235">
                  <c:v>11750</c:v>
                </c:pt>
                <c:pt idx="236">
                  <c:v>11800</c:v>
                </c:pt>
                <c:pt idx="237">
                  <c:v>11850</c:v>
                </c:pt>
                <c:pt idx="238">
                  <c:v>11900</c:v>
                </c:pt>
                <c:pt idx="239">
                  <c:v>11950</c:v>
                </c:pt>
                <c:pt idx="240">
                  <c:v>12000</c:v>
                </c:pt>
                <c:pt idx="241">
                  <c:v>12050</c:v>
                </c:pt>
                <c:pt idx="242">
                  <c:v>12100</c:v>
                </c:pt>
                <c:pt idx="243">
                  <c:v>12150</c:v>
                </c:pt>
                <c:pt idx="244">
                  <c:v>12200</c:v>
                </c:pt>
                <c:pt idx="245">
                  <c:v>12250</c:v>
                </c:pt>
                <c:pt idx="246">
                  <c:v>12300</c:v>
                </c:pt>
                <c:pt idx="247">
                  <c:v>12350</c:v>
                </c:pt>
                <c:pt idx="248">
                  <c:v>12400</c:v>
                </c:pt>
                <c:pt idx="249">
                  <c:v>12450</c:v>
                </c:pt>
                <c:pt idx="250">
                  <c:v>12500</c:v>
                </c:pt>
                <c:pt idx="251">
                  <c:v>12550</c:v>
                </c:pt>
                <c:pt idx="252">
                  <c:v>12600</c:v>
                </c:pt>
                <c:pt idx="253">
                  <c:v>12650</c:v>
                </c:pt>
                <c:pt idx="254">
                  <c:v>12700</c:v>
                </c:pt>
                <c:pt idx="255">
                  <c:v>12750</c:v>
                </c:pt>
                <c:pt idx="256">
                  <c:v>12800</c:v>
                </c:pt>
                <c:pt idx="257">
                  <c:v>12850</c:v>
                </c:pt>
                <c:pt idx="258">
                  <c:v>12900</c:v>
                </c:pt>
                <c:pt idx="259">
                  <c:v>12950</c:v>
                </c:pt>
                <c:pt idx="260">
                  <c:v>13000</c:v>
                </c:pt>
                <c:pt idx="261">
                  <c:v>13050</c:v>
                </c:pt>
                <c:pt idx="262">
                  <c:v>13100</c:v>
                </c:pt>
                <c:pt idx="263">
                  <c:v>13150</c:v>
                </c:pt>
                <c:pt idx="264">
                  <c:v>13200</c:v>
                </c:pt>
                <c:pt idx="265">
                  <c:v>13250</c:v>
                </c:pt>
                <c:pt idx="266">
                  <c:v>13300</c:v>
                </c:pt>
                <c:pt idx="267">
                  <c:v>13350</c:v>
                </c:pt>
                <c:pt idx="268">
                  <c:v>13400</c:v>
                </c:pt>
                <c:pt idx="269">
                  <c:v>13450</c:v>
                </c:pt>
                <c:pt idx="270">
                  <c:v>13500</c:v>
                </c:pt>
                <c:pt idx="271">
                  <c:v>13550</c:v>
                </c:pt>
                <c:pt idx="272">
                  <c:v>13600</c:v>
                </c:pt>
                <c:pt idx="273">
                  <c:v>13650</c:v>
                </c:pt>
                <c:pt idx="274">
                  <c:v>13700</c:v>
                </c:pt>
                <c:pt idx="275">
                  <c:v>13750</c:v>
                </c:pt>
                <c:pt idx="276">
                  <c:v>13800</c:v>
                </c:pt>
                <c:pt idx="277">
                  <c:v>13850</c:v>
                </c:pt>
                <c:pt idx="278">
                  <c:v>13900</c:v>
                </c:pt>
                <c:pt idx="279">
                  <c:v>13950</c:v>
                </c:pt>
                <c:pt idx="280">
                  <c:v>14000</c:v>
                </c:pt>
                <c:pt idx="281">
                  <c:v>14050</c:v>
                </c:pt>
                <c:pt idx="282">
                  <c:v>14100</c:v>
                </c:pt>
                <c:pt idx="283">
                  <c:v>14150</c:v>
                </c:pt>
                <c:pt idx="284">
                  <c:v>14200</c:v>
                </c:pt>
                <c:pt idx="285">
                  <c:v>14250</c:v>
                </c:pt>
                <c:pt idx="286">
                  <c:v>14300</c:v>
                </c:pt>
                <c:pt idx="287">
                  <c:v>14350</c:v>
                </c:pt>
                <c:pt idx="288">
                  <c:v>14400</c:v>
                </c:pt>
                <c:pt idx="289">
                  <c:v>14450</c:v>
                </c:pt>
                <c:pt idx="290">
                  <c:v>14500</c:v>
                </c:pt>
                <c:pt idx="291">
                  <c:v>14550</c:v>
                </c:pt>
                <c:pt idx="292">
                  <c:v>14600</c:v>
                </c:pt>
                <c:pt idx="293">
                  <c:v>14650</c:v>
                </c:pt>
                <c:pt idx="294">
                  <c:v>14700</c:v>
                </c:pt>
                <c:pt idx="295">
                  <c:v>14750</c:v>
                </c:pt>
                <c:pt idx="296">
                  <c:v>14800</c:v>
                </c:pt>
                <c:pt idx="297">
                  <c:v>14850</c:v>
                </c:pt>
                <c:pt idx="298">
                  <c:v>14900</c:v>
                </c:pt>
                <c:pt idx="299">
                  <c:v>14950</c:v>
                </c:pt>
                <c:pt idx="300">
                  <c:v>15000</c:v>
                </c:pt>
                <c:pt idx="301">
                  <c:v>15050</c:v>
                </c:pt>
                <c:pt idx="302">
                  <c:v>15100</c:v>
                </c:pt>
                <c:pt idx="303">
                  <c:v>15150</c:v>
                </c:pt>
                <c:pt idx="304">
                  <c:v>15200</c:v>
                </c:pt>
                <c:pt idx="305">
                  <c:v>15250</c:v>
                </c:pt>
                <c:pt idx="306">
                  <c:v>15300</c:v>
                </c:pt>
                <c:pt idx="307">
                  <c:v>15350</c:v>
                </c:pt>
                <c:pt idx="308">
                  <c:v>15400</c:v>
                </c:pt>
                <c:pt idx="309">
                  <c:v>15450</c:v>
                </c:pt>
                <c:pt idx="310">
                  <c:v>15500</c:v>
                </c:pt>
                <c:pt idx="311">
                  <c:v>15550</c:v>
                </c:pt>
                <c:pt idx="312">
                  <c:v>15600</c:v>
                </c:pt>
                <c:pt idx="313">
                  <c:v>15650</c:v>
                </c:pt>
                <c:pt idx="314">
                  <c:v>15700</c:v>
                </c:pt>
                <c:pt idx="315">
                  <c:v>15750</c:v>
                </c:pt>
                <c:pt idx="316">
                  <c:v>15800</c:v>
                </c:pt>
                <c:pt idx="317">
                  <c:v>15850</c:v>
                </c:pt>
                <c:pt idx="318">
                  <c:v>15900</c:v>
                </c:pt>
                <c:pt idx="319">
                  <c:v>15950</c:v>
                </c:pt>
                <c:pt idx="320">
                  <c:v>16000</c:v>
                </c:pt>
                <c:pt idx="321">
                  <c:v>16050</c:v>
                </c:pt>
                <c:pt idx="322">
                  <c:v>16100</c:v>
                </c:pt>
                <c:pt idx="323">
                  <c:v>16150</c:v>
                </c:pt>
                <c:pt idx="324">
                  <c:v>16200</c:v>
                </c:pt>
                <c:pt idx="325">
                  <c:v>16250</c:v>
                </c:pt>
                <c:pt idx="326">
                  <c:v>16300</c:v>
                </c:pt>
                <c:pt idx="327">
                  <c:v>16350</c:v>
                </c:pt>
                <c:pt idx="328">
                  <c:v>16400</c:v>
                </c:pt>
                <c:pt idx="329">
                  <c:v>16450</c:v>
                </c:pt>
                <c:pt idx="330">
                  <c:v>16500</c:v>
                </c:pt>
                <c:pt idx="331">
                  <c:v>16550</c:v>
                </c:pt>
                <c:pt idx="332">
                  <c:v>16600</c:v>
                </c:pt>
                <c:pt idx="333">
                  <c:v>16650</c:v>
                </c:pt>
                <c:pt idx="334">
                  <c:v>16700</c:v>
                </c:pt>
                <c:pt idx="335">
                  <c:v>16750</c:v>
                </c:pt>
                <c:pt idx="336">
                  <c:v>16800</c:v>
                </c:pt>
                <c:pt idx="337">
                  <c:v>16850</c:v>
                </c:pt>
                <c:pt idx="338">
                  <c:v>16900</c:v>
                </c:pt>
                <c:pt idx="339">
                  <c:v>16950</c:v>
                </c:pt>
                <c:pt idx="340">
                  <c:v>17000</c:v>
                </c:pt>
                <c:pt idx="341">
                  <c:v>17050</c:v>
                </c:pt>
                <c:pt idx="342">
                  <c:v>17100</c:v>
                </c:pt>
                <c:pt idx="343">
                  <c:v>17150</c:v>
                </c:pt>
                <c:pt idx="344">
                  <c:v>17200</c:v>
                </c:pt>
                <c:pt idx="345">
                  <c:v>17250</c:v>
                </c:pt>
                <c:pt idx="346">
                  <c:v>17300</c:v>
                </c:pt>
                <c:pt idx="347">
                  <c:v>17350</c:v>
                </c:pt>
                <c:pt idx="348">
                  <c:v>17400</c:v>
                </c:pt>
                <c:pt idx="349">
                  <c:v>17450</c:v>
                </c:pt>
                <c:pt idx="350">
                  <c:v>17500</c:v>
                </c:pt>
                <c:pt idx="351">
                  <c:v>17550</c:v>
                </c:pt>
                <c:pt idx="352">
                  <c:v>17600</c:v>
                </c:pt>
                <c:pt idx="353">
                  <c:v>17650</c:v>
                </c:pt>
                <c:pt idx="354">
                  <c:v>17700</c:v>
                </c:pt>
                <c:pt idx="355">
                  <c:v>17750</c:v>
                </c:pt>
                <c:pt idx="356">
                  <c:v>17800</c:v>
                </c:pt>
                <c:pt idx="357">
                  <c:v>17850</c:v>
                </c:pt>
                <c:pt idx="358">
                  <c:v>17900</c:v>
                </c:pt>
                <c:pt idx="359">
                  <c:v>17950</c:v>
                </c:pt>
                <c:pt idx="360">
                  <c:v>18000</c:v>
                </c:pt>
                <c:pt idx="361">
                  <c:v>18050</c:v>
                </c:pt>
                <c:pt idx="362">
                  <c:v>18100</c:v>
                </c:pt>
                <c:pt idx="363">
                  <c:v>18150</c:v>
                </c:pt>
                <c:pt idx="364">
                  <c:v>18200</c:v>
                </c:pt>
                <c:pt idx="365">
                  <c:v>18250</c:v>
                </c:pt>
                <c:pt idx="366">
                  <c:v>18300</c:v>
                </c:pt>
                <c:pt idx="367">
                  <c:v>18350</c:v>
                </c:pt>
                <c:pt idx="368">
                  <c:v>18400</c:v>
                </c:pt>
                <c:pt idx="369">
                  <c:v>18450</c:v>
                </c:pt>
                <c:pt idx="370">
                  <c:v>18500</c:v>
                </c:pt>
                <c:pt idx="371">
                  <c:v>18550</c:v>
                </c:pt>
                <c:pt idx="372">
                  <c:v>18600</c:v>
                </c:pt>
                <c:pt idx="373">
                  <c:v>18650</c:v>
                </c:pt>
                <c:pt idx="374">
                  <c:v>18700</c:v>
                </c:pt>
                <c:pt idx="375">
                  <c:v>18750</c:v>
                </c:pt>
                <c:pt idx="376">
                  <c:v>18800</c:v>
                </c:pt>
                <c:pt idx="377">
                  <c:v>18850</c:v>
                </c:pt>
                <c:pt idx="378">
                  <c:v>18900</c:v>
                </c:pt>
                <c:pt idx="379">
                  <c:v>18950</c:v>
                </c:pt>
                <c:pt idx="380">
                  <c:v>19000</c:v>
                </c:pt>
                <c:pt idx="381">
                  <c:v>19050</c:v>
                </c:pt>
                <c:pt idx="382">
                  <c:v>19100</c:v>
                </c:pt>
                <c:pt idx="383">
                  <c:v>19150</c:v>
                </c:pt>
                <c:pt idx="384">
                  <c:v>19200</c:v>
                </c:pt>
                <c:pt idx="385">
                  <c:v>19250</c:v>
                </c:pt>
                <c:pt idx="386">
                  <c:v>19300</c:v>
                </c:pt>
                <c:pt idx="387">
                  <c:v>19350</c:v>
                </c:pt>
                <c:pt idx="388">
                  <c:v>19400</c:v>
                </c:pt>
                <c:pt idx="389">
                  <c:v>19450</c:v>
                </c:pt>
                <c:pt idx="390">
                  <c:v>19500</c:v>
                </c:pt>
                <c:pt idx="391">
                  <c:v>19550</c:v>
                </c:pt>
                <c:pt idx="392">
                  <c:v>19600</c:v>
                </c:pt>
                <c:pt idx="393">
                  <c:v>19650</c:v>
                </c:pt>
                <c:pt idx="394">
                  <c:v>19700</c:v>
                </c:pt>
                <c:pt idx="395">
                  <c:v>19750</c:v>
                </c:pt>
                <c:pt idx="396">
                  <c:v>19800</c:v>
                </c:pt>
                <c:pt idx="397">
                  <c:v>19850</c:v>
                </c:pt>
                <c:pt idx="398">
                  <c:v>19900</c:v>
                </c:pt>
                <c:pt idx="399">
                  <c:v>19950</c:v>
                </c:pt>
                <c:pt idx="400">
                  <c:v>20000</c:v>
                </c:pt>
                <c:pt idx="401">
                  <c:v>20050</c:v>
                </c:pt>
                <c:pt idx="402">
                  <c:v>20100</c:v>
                </c:pt>
                <c:pt idx="403">
                  <c:v>20150</c:v>
                </c:pt>
                <c:pt idx="404">
                  <c:v>20200</c:v>
                </c:pt>
                <c:pt idx="405">
                  <c:v>20250</c:v>
                </c:pt>
                <c:pt idx="406">
                  <c:v>20300</c:v>
                </c:pt>
                <c:pt idx="407">
                  <c:v>20350</c:v>
                </c:pt>
                <c:pt idx="408">
                  <c:v>20400</c:v>
                </c:pt>
                <c:pt idx="409">
                  <c:v>20450</c:v>
                </c:pt>
                <c:pt idx="410">
                  <c:v>20500</c:v>
                </c:pt>
                <c:pt idx="411">
                  <c:v>20550</c:v>
                </c:pt>
                <c:pt idx="412">
                  <c:v>20600</c:v>
                </c:pt>
                <c:pt idx="413">
                  <c:v>20650</c:v>
                </c:pt>
                <c:pt idx="414">
                  <c:v>20700</c:v>
                </c:pt>
                <c:pt idx="415">
                  <c:v>20750</c:v>
                </c:pt>
                <c:pt idx="416">
                  <c:v>20800</c:v>
                </c:pt>
                <c:pt idx="417">
                  <c:v>20850</c:v>
                </c:pt>
                <c:pt idx="418">
                  <c:v>20900</c:v>
                </c:pt>
                <c:pt idx="419">
                  <c:v>20950</c:v>
                </c:pt>
                <c:pt idx="420">
                  <c:v>21000</c:v>
                </c:pt>
                <c:pt idx="421">
                  <c:v>21050</c:v>
                </c:pt>
                <c:pt idx="422">
                  <c:v>21100</c:v>
                </c:pt>
                <c:pt idx="423">
                  <c:v>21150</c:v>
                </c:pt>
                <c:pt idx="424">
                  <c:v>21200</c:v>
                </c:pt>
                <c:pt idx="425">
                  <c:v>21250</c:v>
                </c:pt>
                <c:pt idx="426">
                  <c:v>21300</c:v>
                </c:pt>
                <c:pt idx="427">
                  <c:v>21350</c:v>
                </c:pt>
                <c:pt idx="428">
                  <c:v>21400</c:v>
                </c:pt>
                <c:pt idx="429">
                  <c:v>21450</c:v>
                </c:pt>
                <c:pt idx="430">
                  <c:v>21500</c:v>
                </c:pt>
                <c:pt idx="431">
                  <c:v>21550</c:v>
                </c:pt>
                <c:pt idx="432">
                  <c:v>21600</c:v>
                </c:pt>
                <c:pt idx="433">
                  <c:v>21650</c:v>
                </c:pt>
                <c:pt idx="434">
                  <c:v>21700</c:v>
                </c:pt>
                <c:pt idx="435">
                  <c:v>21750</c:v>
                </c:pt>
                <c:pt idx="436">
                  <c:v>21800</c:v>
                </c:pt>
                <c:pt idx="437">
                  <c:v>21850</c:v>
                </c:pt>
                <c:pt idx="438">
                  <c:v>21900</c:v>
                </c:pt>
                <c:pt idx="439">
                  <c:v>21950</c:v>
                </c:pt>
                <c:pt idx="440">
                  <c:v>22000</c:v>
                </c:pt>
                <c:pt idx="441">
                  <c:v>22050</c:v>
                </c:pt>
                <c:pt idx="442">
                  <c:v>22100</c:v>
                </c:pt>
                <c:pt idx="443">
                  <c:v>22150</c:v>
                </c:pt>
                <c:pt idx="444">
                  <c:v>22200</c:v>
                </c:pt>
                <c:pt idx="445">
                  <c:v>22250</c:v>
                </c:pt>
                <c:pt idx="446">
                  <c:v>22300</c:v>
                </c:pt>
                <c:pt idx="447">
                  <c:v>22350</c:v>
                </c:pt>
                <c:pt idx="448">
                  <c:v>22400</c:v>
                </c:pt>
                <c:pt idx="449">
                  <c:v>22450</c:v>
                </c:pt>
                <c:pt idx="450">
                  <c:v>22500</c:v>
                </c:pt>
                <c:pt idx="451">
                  <c:v>22550</c:v>
                </c:pt>
                <c:pt idx="452">
                  <c:v>22600</c:v>
                </c:pt>
                <c:pt idx="453">
                  <c:v>22650</c:v>
                </c:pt>
                <c:pt idx="454">
                  <c:v>22700</c:v>
                </c:pt>
                <c:pt idx="455">
                  <c:v>22750</c:v>
                </c:pt>
                <c:pt idx="456">
                  <c:v>22800</c:v>
                </c:pt>
                <c:pt idx="457">
                  <c:v>22850</c:v>
                </c:pt>
                <c:pt idx="458">
                  <c:v>22900</c:v>
                </c:pt>
                <c:pt idx="459">
                  <c:v>22950</c:v>
                </c:pt>
                <c:pt idx="460">
                  <c:v>23000</c:v>
                </c:pt>
                <c:pt idx="461">
                  <c:v>23050</c:v>
                </c:pt>
                <c:pt idx="462">
                  <c:v>23100</c:v>
                </c:pt>
                <c:pt idx="463">
                  <c:v>23150</c:v>
                </c:pt>
                <c:pt idx="464">
                  <c:v>23200</c:v>
                </c:pt>
                <c:pt idx="465">
                  <c:v>23250</c:v>
                </c:pt>
                <c:pt idx="466">
                  <c:v>23300</c:v>
                </c:pt>
                <c:pt idx="467">
                  <c:v>23350</c:v>
                </c:pt>
                <c:pt idx="468">
                  <c:v>23400</c:v>
                </c:pt>
                <c:pt idx="469">
                  <c:v>23450</c:v>
                </c:pt>
                <c:pt idx="470">
                  <c:v>23500</c:v>
                </c:pt>
                <c:pt idx="471">
                  <c:v>23550</c:v>
                </c:pt>
                <c:pt idx="472">
                  <c:v>23600</c:v>
                </c:pt>
                <c:pt idx="473">
                  <c:v>23650</c:v>
                </c:pt>
                <c:pt idx="474">
                  <c:v>23700</c:v>
                </c:pt>
                <c:pt idx="475">
                  <c:v>23750</c:v>
                </c:pt>
                <c:pt idx="476">
                  <c:v>23800</c:v>
                </c:pt>
                <c:pt idx="477">
                  <c:v>23850</c:v>
                </c:pt>
                <c:pt idx="478">
                  <c:v>23900</c:v>
                </c:pt>
                <c:pt idx="479">
                  <c:v>23950</c:v>
                </c:pt>
                <c:pt idx="480">
                  <c:v>24000</c:v>
                </c:pt>
                <c:pt idx="481">
                  <c:v>24050</c:v>
                </c:pt>
                <c:pt idx="482">
                  <c:v>24100</c:v>
                </c:pt>
                <c:pt idx="483">
                  <c:v>24150</c:v>
                </c:pt>
                <c:pt idx="484">
                  <c:v>24200</c:v>
                </c:pt>
                <c:pt idx="485">
                  <c:v>24250</c:v>
                </c:pt>
                <c:pt idx="486">
                  <c:v>24300</c:v>
                </c:pt>
                <c:pt idx="487">
                  <c:v>24350</c:v>
                </c:pt>
                <c:pt idx="488">
                  <c:v>24400</c:v>
                </c:pt>
                <c:pt idx="489">
                  <c:v>24450</c:v>
                </c:pt>
                <c:pt idx="490">
                  <c:v>24500</c:v>
                </c:pt>
                <c:pt idx="491">
                  <c:v>24550</c:v>
                </c:pt>
                <c:pt idx="492">
                  <c:v>24600</c:v>
                </c:pt>
                <c:pt idx="493">
                  <c:v>24650</c:v>
                </c:pt>
                <c:pt idx="494">
                  <c:v>24700</c:v>
                </c:pt>
                <c:pt idx="495">
                  <c:v>24750</c:v>
                </c:pt>
                <c:pt idx="496">
                  <c:v>24800</c:v>
                </c:pt>
                <c:pt idx="497">
                  <c:v>24850</c:v>
                </c:pt>
                <c:pt idx="498">
                  <c:v>24900</c:v>
                </c:pt>
                <c:pt idx="499">
                  <c:v>24950</c:v>
                </c:pt>
                <c:pt idx="500">
                  <c:v>25000</c:v>
                </c:pt>
                <c:pt idx="501">
                  <c:v>25050</c:v>
                </c:pt>
                <c:pt idx="502">
                  <c:v>25100</c:v>
                </c:pt>
                <c:pt idx="503">
                  <c:v>25150</c:v>
                </c:pt>
                <c:pt idx="504">
                  <c:v>25200</c:v>
                </c:pt>
                <c:pt idx="505">
                  <c:v>25250</c:v>
                </c:pt>
                <c:pt idx="506">
                  <c:v>25300</c:v>
                </c:pt>
                <c:pt idx="507">
                  <c:v>25350</c:v>
                </c:pt>
                <c:pt idx="508">
                  <c:v>25400</c:v>
                </c:pt>
                <c:pt idx="509">
                  <c:v>25450</c:v>
                </c:pt>
                <c:pt idx="510">
                  <c:v>25500</c:v>
                </c:pt>
                <c:pt idx="511">
                  <c:v>25550</c:v>
                </c:pt>
                <c:pt idx="512">
                  <c:v>25600</c:v>
                </c:pt>
                <c:pt idx="513">
                  <c:v>25650</c:v>
                </c:pt>
                <c:pt idx="514">
                  <c:v>25700</c:v>
                </c:pt>
                <c:pt idx="515">
                  <c:v>25750</c:v>
                </c:pt>
                <c:pt idx="516">
                  <c:v>25800</c:v>
                </c:pt>
                <c:pt idx="517">
                  <c:v>25850</c:v>
                </c:pt>
                <c:pt idx="518">
                  <c:v>25900</c:v>
                </c:pt>
                <c:pt idx="519">
                  <c:v>25950</c:v>
                </c:pt>
                <c:pt idx="520">
                  <c:v>26000</c:v>
                </c:pt>
                <c:pt idx="521">
                  <c:v>26050</c:v>
                </c:pt>
                <c:pt idx="522">
                  <c:v>26100</c:v>
                </c:pt>
                <c:pt idx="523">
                  <c:v>26150</c:v>
                </c:pt>
                <c:pt idx="524">
                  <c:v>26200</c:v>
                </c:pt>
                <c:pt idx="525">
                  <c:v>26250</c:v>
                </c:pt>
                <c:pt idx="526">
                  <c:v>26300</c:v>
                </c:pt>
                <c:pt idx="527">
                  <c:v>26350</c:v>
                </c:pt>
                <c:pt idx="528">
                  <c:v>26400</c:v>
                </c:pt>
                <c:pt idx="529">
                  <c:v>26450</c:v>
                </c:pt>
                <c:pt idx="530">
                  <c:v>26500</c:v>
                </c:pt>
                <c:pt idx="531">
                  <c:v>26550</c:v>
                </c:pt>
                <c:pt idx="532">
                  <c:v>26600</c:v>
                </c:pt>
                <c:pt idx="533">
                  <c:v>26650</c:v>
                </c:pt>
                <c:pt idx="534">
                  <c:v>26700</c:v>
                </c:pt>
                <c:pt idx="535">
                  <c:v>26750</c:v>
                </c:pt>
                <c:pt idx="536">
                  <c:v>26800</c:v>
                </c:pt>
                <c:pt idx="537">
                  <c:v>26850</c:v>
                </c:pt>
                <c:pt idx="538">
                  <c:v>26900</c:v>
                </c:pt>
                <c:pt idx="539">
                  <c:v>26950</c:v>
                </c:pt>
                <c:pt idx="540">
                  <c:v>27000</c:v>
                </c:pt>
                <c:pt idx="541">
                  <c:v>27050</c:v>
                </c:pt>
                <c:pt idx="542">
                  <c:v>27100</c:v>
                </c:pt>
                <c:pt idx="543">
                  <c:v>27150</c:v>
                </c:pt>
                <c:pt idx="544">
                  <c:v>27200</c:v>
                </c:pt>
                <c:pt idx="545">
                  <c:v>27250</c:v>
                </c:pt>
                <c:pt idx="546">
                  <c:v>27300</c:v>
                </c:pt>
                <c:pt idx="547">
                  <c:v>27350</c:v>
                </c:pt>
                <c:pt idx="548">
                  <c:v>27400</c:v>
                </c:pt>
                <c:pt idx="549">
                  <c:v>27450</c:v>
                </c:pt>
                <c:pt idx="550">
                  <c:v>27500</c:v>
                </c:pt>
                <c:pt idx="551">
                  <c:v>27550</c:v>
                </c:pt>
                <c:pt idx="552">
                  <c:v>27600</c:v>
                </c:pt>
                <c:pt idx="553">
                  <c:v>27650</c:v>
                </c:pt>
                <c:pt idx="554">
                  <c:v>27700</c:v>
                </c:pt>
                <c:pt idx="555">
                  <c:v>27750</c:v>
                </c:pt>
                <c:pt idx="556">
                  <c:v>27800</c:v>
                </c:pt>
                <c:pt idx="557">
                  <c:v>27850</c:v>
                </c:pt>
                <c:pt idx="558">
                  <c:v>27900</c:v>
                </c:pt>
                <c:pt idx="559">
                  <c:v>27950</c:v>
                </c:pt>
                <c:pt idx="560">
                  <c:v>28000</c:v>
                </c:pt>
                <c:pt idx="561">
                  <c:v>28050</c:v>
                </c:pt>
                <c:pt idx="562">
                  <c:v>28100</c:v>
                </c:pt>
                <c:pt idx="563">
                  <c:v>28150</c:v>
                </c:pt>
                <c:pt idx="564">
                  <c:v>28200</c:v>
                </c:pt>
                <c:pt idx="565">
                  <c:v>28250</c:v>
                </c:pt>
                <c:pt idx="566">
                  <c:v>28300</c:v>
                </c:pt>
                <c:pt idx="567">
                  <c:v>28350</c:v>
                </c:pt>
                <c:pt idx="568">
                  <c:v>28400</c:v>
                </c:pt>
                <c:pt idx="569">
                  <c:v>28450</c:v>
                </c:pt>
                <c:pt idx="570">
                  <c:v>28500</c:v>
                </c:pt>
                <c:pt idx="571">
                  <c:v>28550</c:v>
                </c:pt>
                <c:pt idx="572">
                  <c:v>28600</c:v>
                </c:pt>
                <c:pt idx="573">
                  <c:v>28650</c:v>
                </c:pt>
                <c:pt idx="574">
                  <c:v>28700</c:v>
                </c:pt>
                <c:pt idx="575">
                  <c:v>28750</c:v>
                </c:pt>
                <c:pt idx="576">
                  <c:v>28800</c:v>
                </c:pt>
                <c:pt idx="577">
                  <c:v>28850</c:v>
                </c:pt>
                <c:pt idx="578">
                  <c:v>28900</c:v>
                </c:pt>
                <c:pt idx="579">
                  <c:v>28950</c:v>
                </c:pt>
                <c:pt idx="580">
                  <c:v>29000</c:v>
                </c:pt>
                <c:pt idx="581">
                  <c:v>29050</c:v>
                </c:pt>
                <c:pt idx="582">
                  <c:v>29100</c:v>
                </c:pt>
                <c:pt idx="583">
                  <c:v>29150</c:v>
                </c:pt>
                <c:pt idx="584">
                  <c:v>29200</c:v>
                </c:pt>
                <c:pt idx="585">
                  <c:v>29250</c:v>
                </c:pt>
                <c:pt idx="586">
                  <c:v>29300</c:v>
                </c:pt>
                <c:pt idx="587">
                  <c:v>29350</c:v>
                </c:pt>
                <c:pt idx="588">
                  <c:v>29400</c:v>
                </c:pt>
                <c:pt idx="589">
                  <c:v>29450</c:v>
                </c:pt>
                <c:pt idx="590">
                  <c:v>29500</c:v>
                </c:pt>
                <c:pt idx="591">
                  <c:v>29550</c:v>
                </c:pt>
                <c:pt idx="592">
                  <c:v>29600</c:v>
                </c:pt>
                <c:pt idx="593">
                  <c:v>29650</c:v>
                </c:pt>
                <c:pt idx="594">
                  <c:v>29700</c:v>
                </c:pt>
                <c:pt idx="595">
                  <c:v>29750</c:v>
                </c:pt>
                <c:pt idx="596">
                  <c:v>29800</c:v>
                </c:pt>
                <c:pt idx="597">
                  <c:v>29850</c:v>
                </c:pt>
                <c:pt idx="598">
                  <c:v>29900</c:v>
                </c:pt>
                <c:pt idx="599">
                  <c:v>29950</c:v>
                </c:pt>
                <c:pt idx="600">
                  <c:v>30000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24-404E-9F56-8C34A244E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5154567"/>
        <c:axId val="2145156615"/>
      </c:scatterChart>
      <c:valAx>
        <c:axId val="2145154567"/>
        <c:scaling>
          <c:orientation val="minMax"/>
          <c:max val="330"/>
          <c:min val="27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potential temperature 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156615"/>
        <c:crosses val="autoZero"/>
        <c:crossBetween val="midCat"/>
      </c:valAx>
      <c:valAx>
        <c:axId val="2145156615"/>
        <c:scaling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z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154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542925</xdr:colOff>
      <xdr:row>1</xdr:row>
      <xdr:rowOff>28575</xdr:rowOff>
    </xdr:from>
    <xdr:to>
      <xdr:col>18</xdr:col>
      <xdr:colOff>9525</xdr:colOff>
      <xdr:row>24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D6C1EB-7469-4D1E-9894-1A90D461FB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12EF09-8FFD-4B3A-A57B-DB8E2A185077}" name="Table1" displayName="Table1" ref="A2:E603" totalsRowShown="0">
  <autoFilter ref="A2:E603" xr:uid="{9A12EF09-8FFD-4B3A-A57B-DB8E2A185077}"/>
  <tableColumns count="5">
    <tableColumn id="1" xr3:uid="{F1A75F58-74BB-4E7E-922D-233469A28071}" name="height" dataDxfId="0"/>
    <tableColumn id="2" xr3:uid="{18826F67-CC20-4C42-98BB-0FA0D8AA6ACD}" name="potential temperature (K)"/>
    <tableColumn id="3" xr3:uid="{F4AD0C24-43D2-4BC8-825F-DDB7BA7CC88D}" name="mixing ratio"/>
    <tableColumn id="4" xr3:uid="{4AAD491D-B333-4310-A76B-72AD397EC2C6}" name="u"/>
    <tableColumn id="5" xr3:uid="{1483657C-62CB-47C3-AEED-81647D10D769}" name="v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3"/>
  <sheetViews>
    <sheetView tabSelected="1" workbookViewId="0">
      <selection sqref="A1:B1"/>
    </sheetView>
  </sheetViews>
  <sheetFormatPr defaultRowHeight="15"/>
  <cols>
    <col min="2" max="2" width="26.28515625" bestFit="1" customWidth="1"/>
    <col min="3" max="3" width="13.85546875" bestFit="1" customWidth="1"/>
  </cols>
  <sheetData>
    <row r="1" spans="1:11" ht="41.25" customHeight="1">
      <c r="A1" s="3" t="s">
        <v>0</v>
      </c>
      <c r="B1" s="3"/>
    </row>
    <row r="2" spans="1:11">
      <c r="A2" t="s">
        <v>1</v>
      </c>
      <c r="B2" t="s">
        <v>2</v>
      </c>
      <c r="C2" t="s">
        <v>3</v>
      </c>
      <c r="D2" t="s">
        <v>4</v>
      </c>
      <c r="E2" t="s">
        <v>5</v>
      </c>
      <c r="G2" t="s">
        <v>6</v>
      </c>
      <c r="H2" t="s">
        <v>7</v>
      </c>
      <c r="J2" t="s">
        <v>8</v>
      </c>
      <c r="K2">
        <v>10</v>
      </c>
    </row>
    <row r="3" spans="1:11">
      <c r="A3" s="1">
        <v>0</v>
      </c>
      <c r="B3">
        <v>288</v>
      </c>
      <c r="C3">
        <v>0</v>
      </c>
      <c r="D3">
        <v>10</v>
      </c>
      <c r="E3">
        <v>0</v>
      </c>
      <c r="J3" t="s">
        <v>9</v>
      </c>
      <c r="K3">
        <v>9.81</v>
      </c>
    </row>
    <row r="4" spans="1:11">
      <c r="A4" s="1">
        <v>50</v>
      </c>
      <c r="B4">
        <v>288.14999999999998</v>
      </c>
      <c r="C4">
        <v>0</v>
      </c>
      <c r="D4">
        <v>10</v>
      </c>
      <c r="E4">
        <v>0</v>
      </c>
      <c r="G4">
        <f>(B4-B3)/(A4-A3)</f>
        <v>2.9999999999995451E-3</v>
      </c>
      <c r="H4">
        <f>SQRT($K$3/B4*G4)</f>
        <v>1.0106151841796062E-2</v>
      </c>
      <c r="J4" t="s">
        <v>10</v>
      </c>
      <c r="K4">
        <v>100</v>
      </c>
    </row>
    <row r="5" spans="1:11">
      <c r="A5" s="1">
        <v>100</v>
      </c>
      <c r="B5">
        <v>288.29000000000002</v>
      </c>
      <c r="C5">
        <v>0</v>
      </c>
      <c r="D5">
        <v>10</v>
      </c>
      <c r="E5">
        <v>0</v>
      </c>
      <c r="G5">
        <f t="shared" ref="G5:G68" si="0">(B5-B4)/(A5-A4)</f>
        <v>2.8000000000008639E-3</v>
      </c>
      <c r="H5">
        <f>SQRT($K$3/B5*G5)</f>
        <v>9.7610992864848433E-3</v>
      </c>
      <c r="J5" t="s">
        <v>11</v>
      </c>
      <c r="K5">
        <f>AVERAGE(H4:H603)</f>
        <v>1.0000319766442368E-2</v>
      </c>
    </row>
    <row r="6" spans="1:11">
      <c r="A6" s="1">
        <v>150</v>
      </c>
      <c r="B6">
        <v>288.44</v>
      </c>
      <c r="C6">
        <v>0</v>
      </c>
      <c r="D6">
        <v>10</v>
      </c>
      <c r="E6">
        <v>0</v>
      </c>
      <c r="G6">
        <f t="shared" si="0"/>
        <v>2.9999999999995451E-3</v>
      </c>
      <c r="H6">
        <f>SQRT($K$3/B6*G6)</f>
        <v>1.01010701591872E-2</v>
      </c>
      <c r="J6" t="s">
        <v>12</v>
      </c>
      <c r="K6" s="2">
        <f>K5*K4/K2</f>
        <v>0.1000031976644237</v>
      </c>
    </row>
    <row r="7" spans="1:11">
      <c r="A7" s="1">
        <v>200</v>
      </c>
      <c r="B7">
        <v>288.58999999999997</v>
      </c>
      <c r="C7">
        <v>0</v>
      </c>
      <c r="D7">
        <v>10</v>
      </c>
      <c r="E7">
        <v>0</v>
      </c>
      <c r="G7">
        <f t="shared" si="0"/>
        <v>2.9999999999995451E-3</v>
      </c>
      <c r="H7">
        <f>SQRT($K$3/B7*G7)</f>
        <v>1.0098444708793475E-2</v>
      </c>
    </row>
    <row r="8" spans="1:11">
      <c r="A8" s="1">
        <v>250</v>
      </c>
      <c r="B8">
        <v>288.74</v>
      </c>
      <c r="C8">
        <v>0</v>
      </c>
      <c r="D8">
        <v>10</v>
      </c>
      <c r="E8">
        <v>0</v>
      </c>
      <c r="G8">
        <f t="shared" si="0"/>
        <v>3.0000000000006822E-3</v>
      </c>
      <c r="H8">
        <f>SQRT($K$3/B8*G8)</f>
        <v>1.0095821304543815E-2</v>
      </c>
    </row>
    <row r="9" spans="1:11">
      <c r="A9" s="1">
        <v>300</v>
      </c>
      <c r="B9">
        <v>288.88</v>
      </c>
      <c r="C9">
        <v>0</v>
      </c>
      <c r="D9">
        <v>10</v>
      </c>
      <c r="E9">
        <v>0</v>
      </c>
      <c r="G9">
        <f t="shared" si="0"/>
        <v>2.7999999999997272E-3</v>
      </c>
      <c r="H9">
        <f>SQRT($K$3/B9*G9)</f>
        <v>9.751126300963843E-3</v>
      </c>
    </row>
    <row r="10" spans="1:11">
      <c r="A10" s="1">
        <v>350</v>
      </c>
      <c r="B10">
        <v>289.02999999999997</v>
      </c>
      <c r="C10">
        <v>0</v>
      </c>
      <c r="D10">
        <v>10</v>
      </c>
      <c r="E10">
        <v>0</v>
      </c>
      <c r="G10">
        <f t="shared" si="0"/>
        <v>2.9999999999995451E-3</v>
      </c>
      <c r="H10">
        <f>SQRT($K$3/B10*G10)</f>
        <v>1.0090755181733751E-2</v>
      </c>
    </row>
    <row r="11" spans="1:11">
      <c r="A11" s="1">
        <v>400</v>
      </c>
      <c r="B11">
        <v>289.18</v>
      </c>
      <c r="C11">
        <v>0</v>
      </c>
      <c r="D11">
        <v>10</v>
      </c>
      <c r="E11">
        <v>0</v>
      </c>
      <c r="G11">
        <f t="shared" si="0"/>
        <v>3.0000000000006822E-3</v>
      </c>
      <c r="H11">
        <f>SQRT($K$3/B11*G11)</f>
        <v>1.0088137764194618E-2</v>
      </c>
    </row>
    <row r="12" spans="1:11">
      <c r="A12" s="1">
        <v>450</v>
      </c>
      <c r="B12">
        <v>289.32</v>
      </c>
      <c r="C12">
        <v>0</v>
      </c>
      <c r="D12">
        <v>10</v>
      </c>
      <c r="E12">
        <v>0</v>
      </c>
      <c r="G12">
        <f t="shared" si="0"/>
        <v>2.7999999999997272E-3</v>
      </c>
      <c r="H12">
        <f>SQRT($K$3/B12*G12)</f>
        <v>9.7437086871307501E-3</v>
      </c>
    </row>
    <row r="13" spans="1:11">
      <c r="A13" s="1">
        <v>500</v>
      </c>
      <c r="B13">
        <v>289.47000000000003</v>
      </c>
      <c r="C13">
        <v>0</v>
      </c>
      <c r="D13">
        <v>10</v>
      </c>
      <c r="E13">
        <v>0</v>
      </c>
      <c r="G13">
        <f t="shared" si="0"/>
        <v>3.0000000000006822E-3</v>
      </c>
      <c r="H13">
        <f>SQRT($K$3/B13*G13)</f>
        <v>1.0083083193689909E-2</v>
      </c>
    </row>
    <row r="14" spans="1:11">
      <c r="A14" s="1">
        <v>550</v>
      </c>
      <c r="B14">
        <v>289.62</v>
      </c>
      <c r="C14">
        <v>0</v>
      </c>
      <c r="D14">
        <v>10</v>
      </c>
      <c r="E14">
        <v>0</v>
      </c>
      <c r="G14">
        <f t="shared" si="0"/>
        <v>2.9999999999995451E-3</v>
      </c>
      <c r="H14">
        <f>SQRT($K$3/B14*G14)</f>
        <v>1.0080471740122228E-2</v>
      </c>
    </row>
    <row r="15" spans="1:11">
      <c r="A15" s="1">
        <v>600</v>
      </c>
      <c r="B15">
        <v>289.77</v>
      </c>
      <c r="C15">
        <v>0</v>
      </c>
      <c r="D15">
        <v>10</v>
      </c>
      <c r="E15">
        <v>0</v>
      </c>
      <c r="G15">
        <f t="shared" si="0"/>
        <v>2.9999999999995451E-3</v>
      </c>
      <c r="H15">
        <f>SQRT($K$3/B15*G15)</f>
        <v>1.0077862314554936E-2</v>
      </c>
    </row>
    <row r="16" spans="1:11">
      <c r="A16" s="1">
        <v>650</v>
      </c>
      <c r="B16">
        <v>289.92</v>
      </c>
      <c r="C16">
        <v>0</v>
      </c>
      <c r="D16">
        <v>10</v>
      </c>
      <c r="E16">
        <v>0</v>
      </c>
      <c r="G16">
        <f t="shared" si="0"/>
        <v>3.0000000000006822E-3</v>
      </c>
      <c r="H16">
        <f>SQRT($K$3/B16*G16)</f>
        <v>1.0075254914364553E-2</v>
      </c>
    </row>
    <row r="17" spans="1:8">
      <c r="A17" s="1">
        <v>700</v>
      </c>
      <c r="B17">
        <v>290.06</v>
      </c>
      <c r="C17">
        <v>0</v>
      </c>
      <c r="D17">
        <v>10</v>
      </c>
      <c r="E17">
        <v>0</v>
      </c>
      <c r="G17">
        <f t="shared" si="0"/>
        <v>2.7999999999997272E-3</v>
      </c>
      <c r="H17">
        <f>SQRT($K$3/B17*G17)</f>
        <v>9.7312716929657157E-3</v>
      </c>
    </row>
    <row r="18" spans="1:8">
      <c r="A18" s="1">
        <v>750</v>
      </c>
      <c r="B18">
        <v>290.20999999999998</v>
      </c>
      <c r="C18">
        <v>0</v>
      </c>
      <c r="D18">
        <v>10</v>
      </c>
      <c r="E18">
        <v>0</v>
      </c>
      <c r="G18">
        <f t="shared" si="0"/>
        <v>2.9999999999995451E-3</v>
      </c>
      <c r="H18">
        <f>SQRT($K$3/B18*G18)</f>
        <v>1.0070219673989283E-2</v>
      </c>
    </row>
    <row r="19" spans="1:8">
      <c r="A19" s="1">
        <v>800</v>
      </c>
      <c r="B19">
        <v>290.36</v>
      </c>
      <c r="C19">
        <v>0</v>
      </c>
      <c r="D19">
        <v>10</v>
      </c>
      <c r="E19">
        <v>0</v>
      </c>
      <c r="G19">
        <f t="shared" si="0"/>
        <v>3.0000000000006822E-3</v>
      </c>
      <c r="H19">
        <f>SQRT($K$3/B19*G19)</f>
        <v>1.0067618199809369E-2</v>
      </c>
    </row>
    <row r="20" spans="1:8">
      <c r="A20" s="1">
        <v>850</v>
      </c>
      <c r="B20">
        <v>290.51</v>
      </c>
      <c r="C20">
        <v>0</v>
      </c>
      <c r="D20">
        <v>10</v>
      </c>
      <c r="E20">
        <v>0</v>
      </c>
      <c r="G20">
        <f t="shared" si="0"/>
        <v>2.9999999999995451E-3</v>
      </c>
      <c r="H20">
        <f>SQRT($K$3/B20*G20)</f>
        <v>1.0065018740727611E-2</v>
      </c>
    </row>
    <row r="21" spans="1:8">
      <c r="A21" s="1">
        <v>900</v>
      </c>
      <c r="B21">
        <v>290.66000000000003</v>
      </c>
      <c r="C21">
        <v>0</v>
      </c>
      <c r="D21">
        <v>10</v>
      </c>
      <c r="E21">
        <v>0</v>
      </c>
      <c r="G21">
        <f t="shared" si="0"/>
        <v>3.0000000000006822E-3</v>
      </c>
      <c r="H21">
        <f>SQRT($K$3/B21*G21)</f>
        <v>1.0062421294151485E-2</v>
      </c>
    </row>
    <row r="22" spans="1:8">
      <c r="A22" s="1">
        <v>950</v>
      </c>
      <c r="B22">
        <v>290.8</v>
      </c>
      <c r="C22">
        <v>0</v>
      </c>
      <c r="D22">
        <v>10</v>
      </c>
      <c r="E22">
        <v>0</v>
      </c>
      <c r="G22">
        <f t="shared" si="0"/>
        <v>2.7999999999997272E-3</v>
      </c>
      <c r="H22">
        <f>SQRT($K$3/B22*G22)</f>
        <v>9.7188822017611771E-3</v>
      </c>
    </row>
    <row r="23" spans="1:8">
      <c r="A23" s="1">
        <v>1000</v>
      </c>
      <c r="B23">
        <v>290.95</v>
      </c>
      <c r="C23">
        <v>0</v>
      </c>
      <c r="D23">
        <v>10</v>
      </c>
      <c r="E23">
        <v>0</v>
      </c>
      <c r="G23">
        <f t="shared" si="0"/>
        <v>2.9999999999995451E-3</v>
      </c>
      <c r="H23">
        <f>SQRT($K$3/B23*G23)</f>
        <v>1.0057405261014271E-2</v>
      </c>
    </row>
    <row r="24" spans="1:8">
      <c r="A24" s="1">
        <v>1050</v>
      </c>
      <c r="B24">
        <v>291.10000000000002</v>
      </c>
      <c r="C24">
        <v>0</v>
      </c>
      <c r="D24">
        <v>10</v>
      </c>
      <c r="E24">
        <v>0</v>
      </c>
      <c r="G24">
        <f t="shared" si="0"/>
        <v>3.0000000000006822E-3</v>
      </c>
      <c r="H24">
        <f>SQRT($K$3/B24*G24)</f>
        <v>1.005481370282129E-2</v>
      </c>
    </row>
    <row r="25" spans="1:8">
      <c r="A25" s="1">
        <v>1100</v>
      </c>
      <c r="B25">
        <v>291.25</v>
      </c>
      <c r="C25">
        <v>0</v>
      </c>
      <c r="D25">
        <v>10</v>
      </c>
      <c r="E25">
        <v>0</v>
      </c>
      <c r="G25">
        <f t="shared" si="0"/>
        <v>2.9999999999995451E-3</v>
      </c>
      <c r="H25">
        <f>SQRT($K$3/B25*G25)</f>
        <v>1.0052224146944488E-2</v>
      </c>
    </row>
    <row r="26" spans="1:8">
      <c r="A26" s="1">
        <v>1150</v>
      </c>
      <c r="B26">
        <v>291.39999999999998</v>
      </c>
      <c r="C26">
        <v>0</v>
      </c>
      <c r="D26">
        <v>10</v>
      </c>
      <c r="E26">
        <v>0</v>
      </c>
      <c r="G26">
        <f t="shared" si="0"/>
        <v>2.9999999999995451E-3</v>
      </c>
      <c r="H26">
        <f>SQRT($K$3/B26*G26)</f>
        <v>1.0049636590812485E-2</v>
      </c>
    </row>
    <row r="27" spans="1:8">
      <c r="A27" s="1">
        <v>1200</v>
      </c>
      <c r="B27">
        <v>291.55</v>
      </c>
      <c r="C27">
        <v>0</v>
      </c>
      <c r="D27">
        <v>10</v>
      </c>
      <c r="E27">
        <v>0</v>
      </c>
      <c r="G27">
        <f t="shared" si="0"/>
        <v>3.0000000000006822E-3</v>
      </c>
      <c r="H27">
        <f>SQRT($K$3/B27*G27)</f>
        <v>1.0047051031852817E-2</v>
      </c>
    </row>
    <row r="28" spans="1:8">
      <c r="A28" s="1">
        <v>1250</v>
      </c>
      <c r="B28">
        <v>291.69</v>
      </c>
      <c r="C28">
        <v>0</v>
      </c>
      <c r="D28">
        <v>10</v>
      </c>
      <c r="E28">
        <v>0</v>
      </c>
      <c r="G28">
        <f t="shared" si="0"/>
        <v>2.7999999999997272E-3</v>
      </c>
      <c r="H28">
        <f>SQRT($K$3/B28*G28)</f>
        <v>9.7040438232042728E-3</v>
      </c>
    </row>
    <row r="29" spans="1:8">
      <c r="A29" s="1">
        <v>1300</v>
      </c>
      <c r="B29">
        <v>291.83999999999997</v>
      </c>
      <c r="C29">
        <v>0</v>
      </c>
      <c r="D29">
        <v>10</v>
      </c>
      <c r="E29">
        <v>0</v>
      </c>
      <c r="G29">
        <f t="shared" si="0"/>
        <v>2.9999999999995451E-3</v>
      </c>
      <c r="H29">
        <f>SQRT($K$3/B29*G29)</f>
        <v>1.0042057938070446E-2</v>
      </c>
    </row>
    <row r="30" spans="1:8">
      <c r="A30" s="1">
        <v>1350</v>
      </c>
      <c r="B30">
        <v>291.99</v>
      </c>
      <c r="C30">
        <v>0</v>
      </c>
      <c r="D30">
        <v>10</v>
      </c>
      <c r="E30">
        <v>0</v>
      </c>
      <c r="G30">
        <f t="shared" si="0"/>
        <v>3.0000000000006822E-3</v>
      </c>
      <c r="H30">
        <f>SQRT($K$3/B30*G30)</f>
        <v>1.0039478222681034E-2</v>
      </c>
    </row>
    <row r="31" spans="1:8">
      <c r="A31" s="1">
        <v>1400</v>
      </c>
      <c r="B31">
        <v>292.14</v>
      </c>
      <c r="C31">
        <v>0</v>
      </c>
      <c r="D31">
        <v>10</v>
      </c>
      <c r="E31">
        <v>0</v>
      </c>
      <c r="G31">
        <f t="shared" si="0"/>
        <v>2.9999999999995451E-3</v>
      </c>
      <c r="H31">
        <f>SQRT($K$3/B31*G31)</f>
        <v>1.0036900494384743E-2</v>
      </c>
    </row>
    <row r="32" spans="1:8">
      <c r="A32" s="1">
        <v>1450</v>
      </c>
      <c r="B32">
        <v>292.29000000000002</v>
      </c>
      <c r="C32">
        <v>0</v>
      </c>
      <c r="D32">
        <v>10</v>
      </c>
      <c r="E32">
        <v>0</v>
      </c>
      <c r="G32">
        <f t="shared" si="0"/>
        <v>3.0000000000006822E-3</v>
      </c>
      <c r="H32">
        <f>SQRT($K$3/B32*G32)</f>
        <v>1.0034324750639458E-2</v>
      </c>
    </row>
    <row r="33" spans="1:8">
      <c r="A33" s="1">
        <v>1500</v>
      </c>
      <c r="B33">
        <v>292.44</v>
      </c>
      <c r="C33">
        <v>0</v>
      </c>
      <c r="D33">
        <v>10</v>
      </c>
      <c r="E33">
        <v>0</v>
      </c>
      <c r="G33">
        <f t="shared" si="0"/>
        <v>2.9999999999995451E-3</v>
      </c>
      <c r="H33">
        <f>SQRT($K$3/B33*G33)</f>
        <v>1.0031750988892436E-2</v>
      </c>
    </row>
    <row r="34" spans="1:8">
      <c r="A34" s="1">
        <v>1550</v>
      </c>
      <c r="B34">
        <v>292.58999999999997</v>
      </c>
      <c r="C34">
        <v>0</v>
      </c>
      <c r="D34">
        <v>10</v>
      </c>
      <c r="E34">
        <v>0</v>
      </c>
      <c r="G34">
        <f t="shared" si="0"/>
        <v>2.9999999999995451E-3</v>
      </c>
      <c r="H34">
        <f>SQRT($K$3/B34*G34)</f>
        <v>1.0029179206608811E-2</v>
      </c>
    </row>
    <row r="35" spans="1:8">
      <c r="A35" s="1">
        <v>1600</v>
      </c>
      <c r="B35">
        <v>292.74</v>
      </c>
      <c r="C35">
        <v>0</v>
      </c>
      <c r="D35">
        <v>10</v>
      </c>
      <c r="E35">
        <v>0</v>
      </c>
      <c r="G35">
        <f t="shared" si="0"/>
        <v>3.0000000000006822E-3</v>
      </c>
      <c r="H35">
        <f>SQRT($K$3/B35*G35)</f>
        <v>1.0026609401252561E-2</v>
      </c>
    </row>
    <row r="36" spans="1:8">
      <c r="A36" s="1">
        <v>1650</v>
      </c>
      <c r="B36">
        <v>292.89</v>
      </c>
      <c r="C36">
        <v>0</v>
      </c>
      <c r="D36">
        <v>10</v>
      </c>
      <c r="E36">
        <v>0</v>
      </c>
      <c r="G36">
        <f t="shared" si="0"/>
        <v>2.9999999999995451E-3</v>
      </c>
      <c r="H36">
        <f>SQRT($K$3/B36*G36)</f>
        <v>1.002404157028652E-2</v>
      </c>
    </row>
    <row r="37" spans="1:8">
      <c r="A37" s="1">
        <v>1700</v>
      </c>
      <c r="B37">
        <v>293.04000000000002</v>
      </c>
      <c r="C37">
        <v>0</v>
      </c>
      <c r="D37">
        <v>10</v>
      </c>
      <c r="E37">
        <v>0</v>
      </c>
      <c r="G37">
        <f t="shared" si="0"/>
        <v>3.0000000000006822E-3</v>
      </c>
      <c r="H37">
        <f>SQRT($K$3/B37*G37)</f>
        <v>1.0021475711191354E-2</v>
      </c>
    </row>
    <row r="38" spans="1:8">
      <c r="A38" s="1">
        <v>1750</v>
      </c>
      <c r="B38">
        <v>293.19</v>
      </c>
      <c r="C38">
        <v>0</v>
      </c>
      <c r="D38">
        <v>10</v>
      </c>
      <c r="E38">
        <v>0</v>
      </c>
      <c r="G38">
        <f t="shared" si="0"/>
        <v>2.9999999999995451E-3</v>
      </c>
      <c r="H38">
        <f>SQRT($K$3/B38*G38)</f>
        <v>1.0018911821437057E-2</v>
      </c>
    </row>
    <row r="39" spans="1:8">
      <c r="A39" s="1">
        <v>1800</v>
      </c>
      <c r="B39">
        <v>293.33999999999997</v>
      </c>
      <c r="C39">
        <v>0</v>
      </c>
      <c r="D39">
        <v>10</v>
      </c>
      <c r="E39">
        <v>0</v>
      </c>
      <c r="G39">
        <f t="shared" si="0"/>
        <v>2.9999999999995451E-3</v>
      </c>
      <c r="H39">
        <f>SQRT($K$3/B39*G39)</f>
        <v>1.0016349898511436E-2</v>
      </c>
    </row>
    <row r="40" spans="1:8">
      <c r="A40" s="1">
        <v>1850</v>
      </c>
      <c r="B40">
        <v>293.49</v>
      </c>
      <c r="C40">
        <v>0</v>
      </c>
      <c r="D40">
        <v>10</v>
      </c>
      <c r="E40">
        <v>0</v>
      </c>
      <c r="G40">
        <f t="shared" si="0"/>
        <v>3.0000000000006822E-3</v>
      </c>
      <c r="H40">
        <f>SQRT($K$3/B40*G40)</f>
        <v>1.0013789939901097E-2</v>
      </c>
    </row>
    <row r="41" spans="1:8">
      <c r="A41" s="1">
        <v>1900</v>
      </c>
      <c r="B41">
        <v>293.63</v>
      </c>
      <c r="C41">
        <v>0</v>
      </c>
      <c r="D41">
        <v>10</v>
      </c>
      <c r="E41">
        <v>0</v>
      </c>
      <c r="G41">
        <f t="shared" si="0"/>
        <v>2.7999999999997272E-3</v>
      </c>
      <c r="H41">
        <f>SQRT($K$3/B41*G41)</f>
        <v>9.6719336104525294E-3</v>
      </c>
    </row>
    <row r="42" spans="1:8">
      <c r="A42" s="1">
        <v>1950</v>
      </c>
      <c r="B42">
        <v>293.77999999999997</v>
      </c>
      <c r="C42">
        <v>0</v>
      </c>
      <c r="D42">
        <v>10</v>
      </c>
      <c r="E42">
        <v>0</v>
      </c>
      <c r="G42">
        <f t="shared" si="0"/>
        <v>2.9999999999995451E-3</v>
      </c>
      <c r="H42">
        <f>SQRT($K$3/B42*G42)</f>
        <v>1.0008846247178446E-2</v>
      </c>
    </row>
    <row r="43" spans="1:8">
      <c r="A43" s="1">
        <v>2000</v>
      </c>
      <c r="B43">
        <v>293.93</v>
      </c>
      <c r="C43">
        <v>0</v>
      </c>
      <c r="D43">
        <v>10</v>
      </c>
      <c r="E43">
        <v>0</v>
      </c>
      <c r="G43">
        <f t="shared" si="0"/>
        <v>3.0000000000006822E-3</v>
      </c>
      <c r="H43">
        <f>SQRT($K$3/B43*G43)</f>
        <v>1.0006292036097167E-2</v>
      </c>
    </row>
    <row r="44" spans="1:8">
      <c r="A44" s="1">
        <v>2050</v>
      </c>
      <c r="B44">
        <v>294.08</v>
      </c>
      <c r="C44">
        <v>0</v>
      </c>
      <c r="D44">
        <v>10</v>
      </c>
      <c r="E44">
        <v>0</v>
      </c>
      <c r="G44">
        <f t="shared" si="0"/>
        <v>2.9999999999995451E-3</v>
      </c>
      <c r="H44">
        <f>SQRT($K$3/B44*G44)</f>
        <v>1.0003739779482998E-2</v>
      </c>
    </row>
    <row r="45" spans="1:8">
      <c r="A45" s="1">
        <v>2100</v>
      </c>
      <c r="B45">
        <v>294.23</v>
      </c>
      <c r="C45">
        <v>0</v>
      </c>
      <c r="D45">
        <v>10</v>
      </c>
      <c r="E45">
        <v>0</v>
      </c>
      <c r="G45">
        <f t="shared" si="0"/>
        <v>3.0000000000006822E-3</v>
      </c>
      <c r="H45">
        <f>SQRT($K$3/B45*G45)</f>
        <v>1.00011894748522E-2</v>
      </c>
    </row>
    <row r="46" spans="1:8">
      <c r="A46" s="1">
        <v>2150</v>
      </c>
      <c r="B46">
        <v>294.38</v>
      </c>
      <c r="C46">
        <v>0</v>
      </c>
      <c r="D46">
        <v>10</v>
      </c>
      <c r="E46">
        <v>0</v>
      </c>
      <c r="G46">
        <f t="shared" si="0"/>
        <v>2.9999999999995451E-3</v>
      </c>
      <c r="H46">
        <f>SQRT($K$3/B46*G46)</f>
        <v>9.9986411197103223E-3</v>
      </c>
    </row>
    <row r="47" spans="1:8">
      <c r="A47" s="1">
        <v>2200</v>
      </c>
      <c r="B47">
        <v>294.52999999999997</v>
      </c>
      <c r="C47">
        <v>0</v>
      </c>
      <c r="D47">
        <v>10</v>
      </c>
      <c r="E47">
        <v>0</v>
      </c>
      <c r="G47">
        <f t="shared" si="0"/>
        <v>2.9999999999995451E-3</v>
      </c>
      <c r="H47">
        <f>SQRT($K$3/B47*G47)</f>
        <v>9.9960947115806092E-3</v>
      </c>
    </row>
    <row r="48" spans="1:8">
      <c r="A48" s="1">
        <v>2250</v>
      </c>
      <c r="B48">
        <v>294.68</v>
      </c>
      <c r="C48">
        <v>0</v>
      </c>
      <c r="D48">
        <v>10</v>
      </c>
      <c r="E48">
        <v>0</v>
      </c>
      <c r="G48">
        <f t="shared" si="0"/>
        <v>3.0000000000006822E-3</v>
      </c>
      <c r="H48">
        <f>SQRT($K$3/B48*G48)</f>
        <v>9.9935502479850443E-3</v>
      </c>
    </row>
    <row r="49" spans="1:8">
      <c r="A49" s="1">
        <v>2300</v>
      </c>
      <c r="B49">
        <v>294.83999999999997</v>
      </c>
      <c r="C49">
        <v>0</v>
      </c>
      <c r="D49">
        <v>10</v>
      </c>
      <c r="E49">
        <v>0</v>
      </c>
      <c r="G49">
        <f t="shared" si="0"/>
        <v>3.1999999999993635E-3</v>
      </c>
      <c r="H49">
        <f>SQRT($K$3/B49*G49)</f>
        <v>1.0318493420615497E-2</v>
      </c>
    </row>
    <row r="50" spans="1:8">
      <c r="A50" s="1">
        <v>2350</v>
      </c>
      <c r="B50">
        <v>294.99</v>
      </c>
      <c r="C50">
        <v>0</v>
      </c>
      <c r="D50">
        <v>10</v>
      </c>
      <c r="E50">
        <v>0</v>
      </c>
      <c r="G50">
        <f t="shared" si="0"/>
        <v>3.0000000000006822E-3</v>
      </c>
      <c r="H50">
        <f>SQRT($K$3/B50*G50)</f>
        <v>9.9882978412697051E-3</v>
      </c>
    </row>
    <row r="51" spans="1:8">
      <c r="A51" s="1">
        <v>2400</v>
      </c>
      <c r="B51">
        <v>295.14</v>
      </c>
      <c r="C51">
        <v>0</v>
      </c>
      <c r="D51">
        <v>10</v>
      </c>
      <c r="E51">
        <v>0</v>
      </c>
      <c r="G51">
        <f t="shared" si="0"/>
        <v>2.9999999999995451E-3</v>
      </c>
      <c r="H51">
        <f>SQRT($K$3/B51*G51)</f>
        <v>9.9857593254972128E-3</v>
      </c>
    </row>
    <row r="52" spans="1:8">
      <c r="A52" s="1">
        <v>2450</v>
      </c>
      <c r="B52">
        <v>295.29000000000002</v>
      </c>
      <c r="C52">
        <v>0</v>
      </c>
      <c r="D52">
        <v>10</v>
      </c>
      <c r="E52">
        <v>0</v>
      </c>
      <c r="G52">
        <f t="shared" si="0"/>
        <v>3.0000000000006822E-3</v>
      </c>
      <c r="H52">
        <f>SQRT($K$3/B52*G52)</f>
        <v>9.9832227442288521E-3</v>
      </c>
    </row>
    <row r="53" spans="1:8">
      <c r="A53" s="1">
        <v>2500</v>
      </c>
      <c r="B53">
        <v>295.44</v>
      </c>
      <c r="C53">
        <v>0</v>
      </c>
      <c r="D53">
        <v>10</v>
      </c>
      <c r="E53">
        <v>0</v>
      </c>
      <c r="G53">
        <f t="shared" si="0"/>
        <v>2.9999999999995451E-3</v>
      </c>
      <c r="H53">
        <f>SQRT($K$3/B53*G53)</f>
        <v>9.9806880950012947E-3</v>
      </c>
    </row>
    <row r="54" spans="1:8">
      <c r="A54" s="1">
        <v>2550</v>
      </c>
      <c r="B54">
        <v>295.58999999999997</v>
      </c>
      <c r="C54">
        <v>0</v>
      </c>
      <c r="D54">
        <v>10</v>
      </c>
      <c r="E54">
        <v>0</v>
      </c>
      <c r="G54">
        <f t="shared" si="0"/>
        <v>2.9999999999995451E-3</v>
      </c>
      <c r="H54">
        <f>SQRT($K$3/B54*G54)</f>
        <v>9.9781553753688201E-3</v>
      </c>
    </row>
    <row r="55" spans="1:8">
      <c r="A55" s="1">
        <v>2600</v>
      </c>
      <c r="B55">
        <v>295.74</v>
      </c>
      <c r="C55">
        <v>0</v>
      </c>
      <c r="D55">
        <v>10</v>
      </c>
      <c r="E55">
        <v>0</v>
      </c>
      <c r="G55">
        <f t="shared" si="0"/>
        <v>3.0000000000006822E-3</v>
      </c>
      <c r="H55">
        <f>SQRT($K$3/B55*G55)</f>
        <v>9.9756245828843768E-3</v>
      </c>
    </row>
    <row r="56" spans="1:8">
      <c r="A56" s="1">
        <v>2650</v>
      </c>
      <c r="B56">
        <v>295.89</v>
      </c>
      <c r="C56">
        <v>0</v>
      </c>
      <c r="D56">
        <v>10</v>
      </c>
      <c r="E56">
        <v>0</v>
      </c>
      <c r="G56">
        <f t="shared" si="0"/>
        <v>2.9999999999995451E-3</v>
      </c>
      <c r="H56">
        <f>SQRT($K$3/B56*G56)</f>
        <v>9.9730957150995954E-3</v>
      </c>
    </row>
    <row r="57" spans="1:8">
      <c r="A57" s="1">
        <v>2700</v>
      </c>
      <c r="B57">
        <v>296.04000000000002</v>
      </c>
      <c r="C57">
        <v>0</v>
      </c>
      <c r="D57">
        <v>10</v>
      </c>
      <c r="E57">
        <v>0</v>
      </c>
      <c r="G57">
        <f t="shared" si="0"/>
        <v>3.0000000000006822E-3</v>
      </c>
      <c r="H57">
        <f>SQRT($K$3/B57*G57)</f>
        <v>9.9705687695836633E-3</v>
      </c>
    </row>
    <row r="58" spans="1:8">
      <c r="A58" s="1">
        <v>2750</v>
      </c>
      <c r="B58">
        <v>296.19</v>
      </c>
      <c r="C58">
        <v>0</v>
      </c>
      <c r="D58">
        <v>10</v>
      </c>
      <c r="E58">
        <v>0</v>
      </c>
      <c r="G58">
        <f t="shared" si="0"/>
        <v>2.9999999999995451E-3</v>
      </c>
      <c r="H58">
        <f>SQRT($K$3/B58*G58)</f>
        <v>9.9680437438949727E-3</v>
      </c>
    </row>
    <row r="59" spans="1:8">
      <c r="A59" s="1">
        <v>2800</v>
      </c>
      <c r="B59">
        <v>296.33999999999997</v>
      </c>
      <c r="C59">
        <v>0</v>
      </c>
      <c r="D59">
        <v>10</v>
      </c>
      <c r="E59">
        <v>0</v>
      </c>
      <c r="G59">
        <f t="shared" si="0"/>
        <v>2.9999999999995451E-3</v>
      </c>
      <c r="H59">
        <f>SQRT($K$3/B59*G59)</f>
        <v>9.9655206356094612E-3</v>
      </c>
    </row>
    <row r="60" spans="1:8">
      <c r="A60" s="1">
        <v>2850</v>
      </c>
      <c r="B60">
        <v>296.49</v>
      </c>
      <c r="C60">
        <v>0</v>
      </c>
      <c r="D60">
        <v>10</v>
      </c>
      <c r="E60">
        <v>0</v>
      </c>
      <c r="G60">
        <f t="shared" si="0"/>
        <v>3.0000000000006822E-3</v>
      </c>
      <c r="H60">
        <f>SQRT($K$3/B60*G60)</f>
        <v>9.9629994423016902E-3</v>
      </c>
    </row>
    <row r="61" spans="1:8">
      <c r="A61" s="1">
        <v>2900</v>
      </c>
      <c r="B61">
        <v>296.64</v>
      </c>
      <c r="C61">
        <v>0</v>
      </c>
      <c r="D61">
        <v>10</v>
      </c>
      <c r="E61">
        <v>0</v>
      </c>
      <c r="G61">
        <f t="shared" si="0"/>
        <v>2.9999999999995451E-3</v>
      </c>
      <c r="H61">
        <f>SQRT($K$3/B61*G61)</f>
        <v>9.9604801615448563E-3</v>
      </c>
    </row>
    <row r="62" spans="1:8">
      <c r="A62" s="1">
        <v>2950</v>
      </c>
      <c r="B62">
        <v>296.8</v>
      </c>
      <c r="C62">
        <v>0</v>
      </c>
      <c r="D62">
        <v>10</v>
      </c>
      <c r="E62">
        <v>0</v>
      </c>
      <c r="G62">
        <f t="shared" si="0"/>
        <v>3.2000000000005002E-3</v>
      </c>
      <c r="H62">
        <f>SQRT($K$3/B62*G62)</f>
        <v>1.0284366488515342E-2</v>
      </c>
    </row>
    <row r="63" spans="1:8">
      <c r="A63" s="1">
        <v>3000</v>
      </c>
      <c r="B63">
        <v>296.95</v>
      </c>
      <c r="C63">
        <v>0</v>
      </c>
      <c r="D63">
        <v>10</v>
      </c>
      <c r="E63">
        <v>0</v>
      </c>
      <c r="G63">
        <f t="shared" si="0"/>
        <v>2.9999999999995451E-3</v>
      </c>
      <c r="H63">
        <f>SQRT($K$3/B63*G63)</f>
        <v>9.9552796982810606E-3</v>
      </c>
    </row>
    <row r="64" spans="1:8">
      <c r="A64" s="1">
        <v>3050</v>
      </c>
      <c r="B64">
        <v>297.10000000000002</v>
      </c>
      <c r="C64">
        <v>0</v>
      </c>
      <c r="D64">
        <v>10</v>
      </c>
      <c r="E64">
        <v>0</v>
      </c>
      <c r="G64">
        <f t="shared" si="0"/>
        <v>3.0000000000006822E-3</v>
      </c>
      <c r="H64">
        <f>SQRT($K$3/B64*G64)</f>
        <v>9.9527662676437006E-3</v>
      </c>
    </row>
    <row r="65" spans="1:8">
      <c r="A65" s="1">
        <v>3100</v>
      </c>
      <c r="B65">
        <v>297.25</v>
      </c>
      <c r="C65">
        <v>0</v>
      </c>
      <c r="D65">
        <v>10</v>
      </c>
      <c r="E65">
        <v>0</v>
      </c>
      <c r="G65">
        <f t="shared" si="0"/>
        <v>2.9999999999995451E-3</v>
      </c>
      <c r="H65">
        <f>SQRT($K$3/B65*G65)</f>
        <v>9.9502547397553442E-3</v>
      </c>
    </row>
    <row r="66" spans="1:8">
      <c r="A66" s="1">
        <v>3150</v>
      </c>
      <c r="B66">
        <v>297.39999999999998</v>
      </c>
      <c r="C66">
        <v>0</v>
      </c>
      <c r="D66">
        <v>10</v>
      </c>
      <c r="E66">
        <v>0</v>
      </c>
      <c r="G66">
        <f t="shared" si="0"/>
        <v>2.9999999999995451E-3</v>
      </c>
      <c r="H66">
        <f>SQRT($K$3/B66*G66)</f>
        <v>9.9477451122221092E-3</v>
      </c>
    </row>
    <row r="67" spans="1:8">
      <c r="A67" s="1">
        <v>3200</v>
      </c>
      <c r="B67">
        <v>297.55</v>
      </c>
      <c r="C67">
        <v>0</v>
      </c>
      <c r="D67">
        <v>10</v>
      </c>
      <c r="E67">
        <v>0</v>
      </c>
      <c r="G67">
        <f t="shared" si="0"/>
        <v>3.0000000000006822E-3</v>
      </c>
      <c r="H67">
        <f>SQRT($K$3/B67*G67)</f>
        <v>9.9452373826486948E-3</v>
      </c>
    </row>
    <row r="68" spans="1:8">
      <c r="A68" s="1">
        <v>3250</v>
      </c>
      <c r="B68">
        <v>297.70999999999998</v>
      </c>
      <c r="C68">
        <v>0</v>
      </c>
      <c r="D68">
        <v>10</v>
      </c>
      <c r="E68">
        <v>0</v>
      </c>
      <c r="G68">
        <f t="shared" si="0"/>
        <v>3.1999999999993635E-3</v>
      </c>
      <c r="H68">
        <f>SQRT($K$3/B68*G68)</f>
        <v>1.0268636522915264E-2</v>
      </c>
    </row>
    <row r="69" spans="1:8">
      <c r="A69" s="1">
        <v>3300</v>
      </c>
      <c r="B69">
        <v>297.86</v>
      </c>
      <c r="C69">
        <v>0</v>
      </c>
      <c r="D69">
        <v>10</v>
      </c>
      <c r="E69">
        <v>0</v>
      </c>
      <c r="G69">
        <f t="shared" ref="G69:G132" si="1">(B69-B68)/(A69-A68)</f>
        <v>3.0000000000006822E-3</v>
      </c>
      <c r="H69">
        <f>SQRT($K$3/B69*G69)</f>
        <v>9.9400607456779175E-3</v>
      </c>
    </row>
    <row r="70" spans="1:8">
      <c r="A70" s="1">
        <v>3350</v>
      </c>
      <c r="B70">
        <v>298.01</v>
      </c>
      <c r="C70">
        <v>0</v>
      </c>
      <c r="D70">
        <v>10</v>
      </c>
      <c r="E70">
        <v>0</v>
      </c>
      <c r="G70">
        <f t="shared" si="1"/>
        <v>2.9999999999995451E-3</v>
      </c>
      <c r="H70">
        <f>SQRT($K$3/B70*G70)</f>
        <v>9.9375588216134621E-3</v>
      </c>
    </row>
    <row r="71" spans="1:8">
      <c r="A71" s="1">
        <v>3400</v>
      </c>
      <c r="B71">
        <v>298.16000000000003</v>
      </c>
      <c r="C71">
        <v>0</v>
      </c>
      <c r="D71">
        <v>10</v>
      </c>
      <c r="E71">
        <v>0</v>
      </c>
      <c r="G71">
        <f t="shared" si="1"/>
        <v>3.0000000000006822E-3</v>
      </c>
      <c r="H71">
        <f>SQRT($K$3/B71*G71)</f>
        <v>9.9350587858132323E-3</v>
      </c>
    </row>
    <row r="72" spans="1:8">
      <c r="A72" s="1">
        <v>3450</v>
      </c>
      <c r="B72">
        <v>298.31</v>
      </c>
      <c r="C72">
        <v>0</v>
      </c>
      <c r="D72">
        <v>10</v>
      </c>
      <c r="E72">
        <v>0</v>
      </c>
      <c r="G72">
        <f t="shared" si="1"/>
        <v>2.9999999999995451E-3</v>
      </c>
      <c r="H72">
        <f>SQRT($K$3/B72*G72)</f>
        <v>9.9325606358957024E-3</v>
      </c>
    </row>
    <row r="73" spans="1:8">
      <c r="A73" s="1">
        <v>3500</v>
      </c>
      <c r="B73">
        <v>298.47000000000003</v>
      </c>
      <c r="C73">
        <v>0</v>
      </c>
      <c r="D73">
        <v>10</v>
      </c>
      <c r="E73">
        <v>0</v>
      </c>
      <c r="G73">
        <f t="shared" si="1"/>
        <v>3.2000000000005002E-3</v>
      </c>
      <c r="H73">
        <f>SQRT($K$3/B73*G73)</f>
        <v>1.0255554574871661E-2</v>
      </c>
    </row>
    <row r="74" spans="1:8">
      <c r="A74" s="1">
        <v>3550</v>
      </c>
      <c r="B74">
        <v>298.62</v>
      </c>
      <c r="C74">
        <v>0</v>
      </c>
      <c r="D74">
        <v>10</v>
      </c>
      <c r="E74">
        <v>0</v>
      </c>
      <c r="G74">
        <f t="shared" si="1"/>
        <v>2.9999999999995451E-3</v>
      </c>
      <c r="H74">
        <f>SQRT($K$3/B74*G74)</f>
        <v>9.9274037587263209E-3</v>
      </c>
    </row>
    <row r="75" spans="1:8">
      <c r="A75" s="1">
        <v>3600</v>
      </c>
      <c r="B75">
        <v>298.77</v>
      </c>
      <c r="C75">
        <v>0</v>
      </c>
      <c r="D75">
        <v>10</v>
      </c>
      <c r="E75">
        <v>0</v>
      </c>
      <c r="G75">
        <f t="shared" si="1"/>
        <v>2.9999999999995451E-3</v>
      </c>
      <c r="H75">
        <f>SQRT($K$3/B75*G75)</f>
        <v>9.9249113774365766E-3</v>
      </c>
    </row>
    <row r="76" spans="1:8">
      <c r="A76" s="1">
        <v>3650</v>
      </c>
      <c r="B76">
        <v>298.92</v>
      </c>
      <c r="C76">
        <v>0</v>
      </c>
      <c r="D76">
        <v>10</v>
      </c>
      <c r="E76">
        <v>0</v>
      </c>
      <c r="G76">
        <f t="shared" si="1"/>
        <v>3.0000000000006822E-3</v>
      </c>
      <c r="H76">
        <f>SQRT($K$3/B76*G76)</f>
        <v>9.9224208724238531E-3</v>
      </c>
    </row>
    <row r="77" spans="1:8">
      <c r="A77" s="1">
        <v>3700</v>
      </c>
      <c r="B77">
        <v>299.07</v>
      </c>
      <c r="C77">
        <v>0</v>
      </c>
      <c r="D77">
        <v>10</v>
      </c>
      <c r="E77">
        <v>0</v>
      </c>
      <c r="G77">
        <f t="shared" si="1"/>
        <v>2.9999999999995451E-3</v>
      </c>
      <c r="H77">
        <f>SQRT($K$3/B77*G77)</f>
        <v>9.9199322413295789E-3</v>
      </c>
    </row>
    <row r="78" spans="1:8">
      <c r="A78" s="1">
        <v>3750</v>
      </c>
      <c r="B78">
        <v>299.23</v>
      </c>
      <c r="C78">
        <v>0</v>
      </c>
      <c r="D78">
        <v>10</v>
      </c>
      <c r="E78">
        <v>0</v>
      </c>
      <c r="G78">
        <f t="shared" si="1"/>
        <v>3.2000000000005002E-3</v>
      </c>
      <c r="H78">
        <f>SQRT($K$3/B78*G78)</f>
        <v>1.024252249784959E-2</v>
      </c>
    </row>
    <row r="79" spans="1:8">
      <c r="A79" s="1">
        <v>3800</v>
      </c>
      <c r="B79">
        <v>299.38</v>
      </c>
      <c r="C79">
        <v>0</v>
      </c>
      <c r="D79">
        <v>10</v>
      </c>
      <c r="E79">
        <v>0</v>
      </c>
      <c r="G79">
        <f t="shared" si="1"/>
        <v>2.9999999999995451E-3</v>
      </c>
      <c r="H79">
        <f>SQRT($K$3/B79*G79)</f>
        <v>9.9147949985717524E-3</v>
      </c>
    </row>
    <row r="80" spans="1:8">
      <c r="A80" s="1">
        <v>3850</v>
      </c>
      <c r="B80">
        <v>299.52999999999997</v>
      </c>
      <c r="C80">
        <v>0</v>
      </c>
      <c r="D80">
        <v>10</v>
      </c>
      <c r="E80">
        <v>0</v>
      </c>
      <c r="G80">
        <f t="shared" si="1"/>
        <v>2.9999999999995451E-3</v>
      </c>
      <c r="H80">
        <f>SQRT($K$3/B80*G80)</f>
        <v>9.9123120995457253E-3</v>
      </c>
    </row>
    <row r="81" spans="1:8">
      <c r="A81" s="1">
        <v>3900</v>
      </c>
      <c r="B81">
        <v>299.69</v>
      </c>
      <c r="C81">
        <v>0</v>
      </c>
      <c r="D81">
        <v>10</v>
      </c>
      <c r="E81">
        <v>0</v>
      </c>
      <c r="G81">
        <f t="shared" si="1"/>
        <v>3.2000000000005002E-3</v>
      </c>
      <c r="H81">
        <f>SQRT($K$3/B81*G81)</f>
        <v>1.0234658755809065E-2</v>
      </c>
    </row>
    <row r="82" spans="1:8">
      <c r="A82" s="1">
        <v>3950</v>
      </c>
      <c r="B82">
        <v>299.83999999999997</v>
      </c>
      <c r="C82">
        <v>0</v>
      </c>
      <c r="D82">
        <v>10</v>
      </c>
      <c r="E82">
        <v>0</v>
      </c>
      <c r="G82">
        <f t="shared" si="1"/>
        <v>2.9999999999995451E-3</v>
      </c>
      <c r="H82">
        <f>SQRT($K$3/B82*G82)</f>
        <v>9.9071866803283372E-3</v>
      </c>
    </row>
    <row r="83" spans="1:8">
      <c r="A83" s="1">
        <v>4000</v>
      </c>
      <c r="B83">
        <v>299.99</v>
      </c>
      <c r="C83">
        <v>0</v>
      </c>
      <c r="D83">
        <v>10</v>
      </c>
      <c r="E83">
        <v>0</v>
      </c>
      <c r="G83">
        <f t="shared" si="1"/>
        <v>3.0000000000006822E-3</v>
      </c>
      <c r="H83">
        <f>SQRT($K$3/B83*G83)</f>
        <v>9.9047094913998334E-3</v>
      </c>
    </row>
    <row r="84" spans="1:8">
      <c r="A84" s="1">
        <v>4050</v>
      </c>
      <c r="B84">
        <v>300.14</v>
      </c>
      <c r="C84">
        <v>0</v>
      </c>
      <c r="D84">
        <v>10</v>
      </c>
      <c r="E84">
        <v>0</v>
      </c>
      <c r="G84">
        <f t="shared" si="1"/>
        <v>2.9999999999995451E-3</v>
      </c>
      <c r="H84">
        <f>SQRT($K$3/B84*G84)</f>
        <v>9.9022341597247605E-3</v>
      </c>
    </row>
    <row r="85" spans="1:8">
      <c r="A85" s="1">
        <v>4100</v>
      </c>
      <c r="B85">
        <v>300.3</v>
      </c>
      <c r="C85">
        <v>0</v>
      </c>
      <c r="D85">
        <v>10</v>
      </c>
      <c r="E85">
        <v>0</v>
      </c>
      <c r="G85">
        <f t="shared" si="1"/>
        <v>3.2000000000005002E-3</v>
      </c>
      <c r="H85">
        <f>SQRT($K$3/B85*G85)</f>
        <v>1.0224258630114991E-2</v>
      </c>
    </row>
    <row r="86" spans="1:8">
      <c r="A86" s="1">
        <v>4150</v>
      </c>
      <c r="B86">
        <v>300.45</v>
      </c>
      <c r="C86">
        <v>0</v>
      </c>
      <c r="D86">
        <v>10</v>
      </c>
      <c r="E86">
        <v>0</v>
      </c>
      <c r="G86">
        <f t="shared" si="1"/>
        <v>2.9999999999995451E-3</v>
      </c>
      <c r="H86">
        <f>SQRT($K$3/B86*G86)</f>
        <v>9.8971243497489488E-3</v>
      </c>
    </row>
    <row r="87" spans="1:8">
      <c r="A87" s="1">
        <v>4200</v>
      </c>
      <c r="B87">
        <v>300.60000000000002</v>
      </c>
      <c r="C87">
        <v>0</v>
      </c>
      <c r="D87">
        <v>10</v>
      </c>
      <c r="E87">
        <v>0</v>
      </c>
      <c r="G87">
        <f t="shared" si="1"/>
        <v>3.0000000000006822E-3</v>
      </c>
      <c r="H87">
        <f>SQRT($K$3/B87*G87)</f>
        <v>9.894654699219612E-3</v>
      </c>
    </row>
    <row r="88" spans="1:8">
      <c r="A88" s="1">
        <v>4250</v>
      </c>
      <c r="B88">
        <v>300.76</v>
      </c>
      <c r="C88">
        <v>0</v>
      </c>
      <c r="D88">
        <v>10</v>
      </c>
      <c r="E88">
        <v>0</v>
      </c>
      <c r="G88">
        <f t="shared" si="1"/>
        <v>3.1999999999993635E-3</v>
      </c>
      <c r="H88">
        <f>SQRT($K$3/B88*G88)</f>
        <v>1.0216436847515333E-2</v>
      </c>
    </row>
    <row r="89" spans="1:8">
      <c r="A89" s="1">
        <v>4300</v>
      </c>
      <c r="B89">
        <v>300.91000000000003</v>
      </c>
      <c r="C89">
        <v>0</v>
      </c>
      <c r="D89">
        <v>10</v>
      </c>
      <c r="E89">
        <v>0</v>
      </c>
      <c r="G89">
        <f t="shared" si="1"/>
        <v>3.0000000000006822E-3</v>
      </c>
      <c r="H89">
        <f>SQRT($K$3/B89*G89)</f>
        <v>9.889556607822602E-3</v>
      </c>
    </row>
    <row r="90" spans="1:8">
      <c r="A90" s="1">
        <v>4350</v>
      </c>
      <c r="B90">
        <v>301.06</v>
      </c>
      <c r="C90">
        <v>0</v>
      </c>
      <c r="D90">
        <v>10</v>
      </c>
      <c r="E90">
        <v>0</v>
      </c>
      <c r="G90">
        <f t="shared" si="1"/>
        <v>2.9999999999995451E-3</v>
      </c>
      <c r="H90">
        <f>SQRT($K$3/B90*G90)</f>
        <v>9.8870926167333555E-3</v>
      </c>
    </row>
    <row r="91" spans="1:8">
      <c r="A91" s="1">
        <v>4400</v>
      </c>
      <c r="B91">
        <v>301.22000000000003</v>
      </c>
      <c r="C91">
        <v>0</v>
      </c>
      <c r="D91">
        <v>10</v>
      </c>
      <c r="E91">
        <v>0</v>
      </c>
      <c r="G91">
        <f t="shared" si="1"/>
        <v>3.2000000000005002E-3</v>
      </c>
      <c r="H91">
        <f>SQRT($K$3/B91*G91)</f>
        <v>1.0208632989003283E-2</v>
      </c>
    </row>
    <row r="92" spans="1:8">
      <c r="A92" s="1">
        <v>4450</v>
      </c>
      <c r="B92">
        <v>301.37</v>
      </c>
      <c r="C92">
        <v>0</v>
      </c>
      <c r="D92">
        <v>10</v>
      </c>
      <c r="E92">
        <v>0</v>
      </c>
      <c r="G92">
        <f t="shared" si="1"/>
        <v>2.9999999999995451E-3</v>
      </c>
      <c r="H92">
        <f>SQRT($K$3/B92*G92)</f>
        <v>9.8820061991922031E-3</v>
      </c>
    </row>
    <row r="93" spans="1:8">
      <c r="A93" s="1">
        <v>4500</v>
      </c>
      <c r="B93">
        <v>301.52999999999997</v>
      </c>
      <c r="C93">
        <v>0</v>
      </c>
      <c r="D93">
        <v>10</v>
      </c>
      <c r="E93">
        <v>0</v>
      </c>
      <c r="G93">
        <f t="shared" si="1"/>
        <v>3.1999999999993635E-3</v>
      </c>
      <c r="H93">
        <f>SQRT($K$3/B93*G93)</f>
        <v>1.0203383942409034E-2</v>
      </c>
    </row>
    <row r="94" spans="1:8">
      <c r="A94" s="1">
        <v>4550</v>
      </c>
      <c r="B94">
        <v>301.68</v>
      </c>
      <c r="C94">
        <v>0</v>
      </c>
      <c r="D94">
        <v>10</v>
      </c>
      <c r="E94">
        <v>0</v>
      </c>
      <c r="G94">
        <f t="shared" si="1"/>
        <v>3.0000000000006822E-3</v>
      </c>
      <c r="H94">
        <f>SQRT($K$3/B94*G94)</f>
        <v>9.8769276237113193E-3</v>
      </c>
    </row>
    <row r="95" spans="1:8">
      <c r="A95" s="1">
        <v>4600</v>
      </c>
      <c r="B95">
        <v>301.83</v>
      </c>
      <c r="C95">
        <v>0</v>
      </c>
      <c r="D95">
        <v>10</v>
      </c>
      <c r="E95">
        <v>0</v>
      </c>
      <c r="G95">
        <f t="shared" si="1"/>
        <v>2.9999999999995451E-3</v>
      </c>
      <c r="H95">
        <f>SQRT($K$3/B95*G95)</f>
        <v>9.8744730577967205E-3</v>
      </c>
    </row>
    <row r="96" spans="1:8">
      <c r="A96" s="1">
        <v>4650</v>
      </c>
      <c r="B96">
        <v>301.99</v>
      </c>
      <c r="C96">
        <v>0</v>
      </c>
      <c r="D96">
        <v>10</v>
      </c>
      <c r="E96">
        <v>0</v>
      </c>
      <c r="G96">
        <f t="shared" si="1"/>
        <v>3.2000000000005002E-3</v>
      </c>
      <c r="H96">
        <f>SQRT($K$3/B96*G96)</f>
        <v>1.019560993446895E-2</v>
      </c>
    </row>
    <row r="97" spans="1:8">
      <c r="A97" s="1">
        <v>4700</v>
      </c>
      <c r="B97">
        <v>302.14</v>
      </c>
      <c r="C97">
        <v>0</v>
      </c>
      <c r="D97">
        <v>10</v>
      </c>
      <c r="E97">
        <v>0</v>
      </c>
      <c r="G97">
        <f t="shared" si="1"/>
        <v>2.9999999999995451E-3</v>
      </c>
      <c r="H97">
        <f>SQRT($K$3/B97*G97)</f>
        <v>9.8694060818406287E-3</v>
      </c>
    </row>
    <row r="98" spans="1:8">
      <c r="A98" s="1">
        <v>4750</v>
      </c>
      <c r="B98">
        <v>302.29000000000002</v>
      </c>
      <c r="C98">
        <v>0</v>
      </c>
      <c r="D98">
        <v>10</v>
      </c>
      <c r="E98">
        <v>0</v>
      </c>
      <c r="G98">
        <f t="shared" si="1"/>
        <v>3.0000000000006822E-3</v>
      </c>
      <c r="H98">
        <f>SQRT($K$3/B98*G98)</f>
        <v>9.8669571179214929E-3</v>
      </c>
    </row>
    <row r="99" spans="1:8">
      <c r="A99" s="1">
        <v>4800</v>
      </c>
      <c r="B99">
        <v>302.45</v>
      </c>
      <c r="C99">
        <v>0</v>
      </c>
      <c r="D99">
        <v>10</v>
      </c>
      <c r="E99">
        <v>0</v>
      </c>
      <c r="G99">
        <f t="shared" si="1"/>
        <v>3.1999999999993635E-3</v>
      </c>
      <c r="H99">
        <f>SQRT($K$3/B99*G99)</f>
        <v>1.0187853668654918E-2</v>
      </c>
    </row>
    <row r="100" spans="1:8">
      <c r="A100" s="1">
        <v>4850</v>
      </c>
      <c r="B100">
        <v>302.60000000000002</v>
      </c>
      <c r="C100">
        <v>0</v>
      </c>
      <c r="D100">
        <v>10</v>
      </c>
      <c r="E100">
        <v>0</v>
      </c>
      <c r="G100">
        <f t="shared" si="1"/>
        <v>3.0000000000006822E-3</v>
      </c>
      <c r="H100">
        <f>SQRT($K$3/B100*G100)</f>
        <v>9.8619016974034381E-3</v>
      </c>
    </row>
    <row r="101" spans="1:8">
      <c r="A101" s="1">
        <v>4900</v>
      </c>
      <c r="B101">
        <v>302.76</v>
      </c>
      <c r="C101">
        <v>0</v>
      </c>
      <c r="D101">
        <v>10</v>
      </c>
      <c r="E101">
        <v>0</v>
      </c>
      <c r="G101">
        <f t="shared" si="1"/>
        <v>3.1999999999993635E-3</v>
      </c>
      <c r="H101">
        <f>SQRT($K$3/B101*G101)</f>
        <v>1.0182636593263402E-2</v>
      </c>
    </row>
    <row r="102" spans="1:8">
      <c r="A102" s="1">
        <v>4950</v>
      </c>
      <c r="B102">
        <v>302.91000000000003</v>
      </c>
      <c r="C102">
        <v>0</v>
      </c>
      <c r="D102">
        <v>10</v>
      </c>
      <c r="E102">
        <v>0</v>
      </c>
      <c r="G102">
        <f t="shared" si="1"/>
        <v>3.0000000000006822E-3</v>
      </c>
      <c r="H102">
        <f>SQRT($K$3/B102*G102)</f>
        <v>9.8568540394960592E-3</v>
      </c>
    </row>
    <row r="103" spans="1:8">
      <c r="A103" s="1">
        <v>5000</v>
      </c>
      <c r="B103">
        <v>303.07</v>
      </c>
      <c r="C103">
        <v>0</v>
      </c>
      <c r="D103">
        <v>10</v>
      </c>
      <c r="E103">
        <v>0</v>
      </c>
      <c r="G103">
        <f t="shared" si="1"/>
        <v>3.1999999999993635E-3</v>
      </c>
      <c r="H103">
        <f>SQRT($K$3/B103*G103)</f>
        <v>1.0177427524473771E-2</v>
      </c>
    </row>
    <row r="104" spans="1:8">
      <c r="A104" s="1">
        <v>5050</v>
      </c>
      <c r="B104">
        <v>303.22000000000003</v>
      </c>
      <c r="C104">
        <v>0</v>
      </c>
      <c r="D104">
        <v>10</v>
      </c>
      <c r="E104">
        <v>0</v>
      </c>
      <c r="G104">
        <f t="shared" si="1"/>
        <v>3.0000000000006822E-3</v>
      </c>
      <c r="H104">
        <f>SQRT($K$3/B104*G104)</f>
        <v>9.8518141243538245E-3</v>
      </c>
    </row>
    <row r="105" spans="1:8">
      <c r="A105" s="1">
        <v>5100</v>
      </c>
      <c r="B105">
        <v>303.38</v>
      </c>
      <c r="C105">
        <v>0</v>
      </c>
      <c r="D105">
        <v>10</v>
      </c>
      <c r="E105">
        <v>0</v>
      </c>
      <c r="G105">
        <f t="shared" si="1"/>
        <v>3.1999999999993635E-3</v>
      </c>
      <c r="H105">
        <f>SQRT($K$3/B105*G105)</f>
        <v>1.0172226441827517E-2</v>
      </c>
    </row>
    <row r="106" spans="1:8">
      <c r="A106" s="1">
        <v>5150</v>
      </c>
      <c r="B106">
        <v>303.52999999999997</v>
      </c>
      <c r="C106">
        <v>0</v>
      </c>
      <c r="D106">
        <v>10</v>
      </c>
      <c r="E106">
        <v>0</v>
      </c>
      <c r="G106">
        <f t="shared" si="1"/>
        <v>2.9999999999995451E-3</v>
      </c>
      <c r="H106">
        <f>SQRT($K$3/B106*G106)</f>
        <v>9.846781932200295E-3</v>
      </c>
    </row>
    <row r="107" spans="1:8">
      <c r="A107" s="1">
        <v>5200</v>
      </c>
      <c r="B107">
        <v>303.69</v>
      </c>
      <c r="C107">
        <v>0</v>
      </c>
      <c r="D107">
        <v>10</v>
      </c>
      <c r="E107">
        <v>0</v>
      </c>
      <c r="G107">
        <f t="shared" si="1"/>
        <v>3.2000000000005002E-3</v>
      </c>
      <c r="H107">
        <f>SQRT($K$3/B107*G107)</f>
        <v>1.0167033324941042E-2</v>
      </c>
    </row>
    <row r="108" spans="1:8">
      <c r="A108" s="1">
        <v>5250</v>
      </c>
      <c r="B108">
        <v>303.83999999999997</v>
      </c>
      <c r="C108">
        <v>0</v>
      </c>
      <c r="D108">
        <v>10</v>
      </c>
      <c r="E108">
        <v>0</v>
      </c>
      <c r="G108">
        <f t="shared" si="1"/>
        <v>2.9999999999995451E-3</v>
      </c>
      <c r="H108">
        <f>SQRT($K$3/B108*G108)</f>
        <v>9.8417574433352639E-3</v>
      </c>
    </row>
    <row r="109" spans="1:8">
      <c r="A109" s="1">
        <v>5300</v>
      </c>
      <c r="B109">
        <v>304</v>
      </c>
      <c r="C109">
        <v>0</v>
      </c>
      <c r="D109">
        <v>10</v>
      </c>
      <c r="E109">
        <v>0</v>
      </c>
      <c r="G109">
        <f t="shared" si="1"/>
        <v>3.2000000000005002E-3</v>
      </c>
      <c r="H109">
        <f>SQRT($K$3/B109*G109)</f>
        <v>1.0161848153498113E-2</v>
      </c>
    </row>
    <row r="110" spans="1:8">
      <c r="A110" s="1">
        <v>5350</v>
      </c>
      <c r="B110">
        <v>304.14999999999998</v>
      </c>
      <c r="C110">
        <v>0</v>
      </c>
      <c r="D110">
        <v>10</v>
      </c>
      <c r="E110">
        <v>0</v>
      </c>
      <c r="G110">
        <f t="shared" si="1"/>
        <v>2.9999999999995451E-3</v>
      </c>
      <c r="H110">
        <f>SQRT($K$3/B110*G110)</f>
        <v>9.8367406381232227E-3</v>
      </c>
    </row>
    <row r="111" spans="1:8">
      <c r="A111" s="1">
        <v>5400</v>
      </c>
      <c r="B111">
        <v>304.31</v>
      </c>
      <c r="C111">
        <v>0</v>
      </c>
      <c r="D111">
        <v>10</v>
      </c>
      <c r="E111">
        <v>0</v>
      </c>
      <c r="G111">
        <f t="shared" si="1"/>
        <v>3.2000000000005002E-3</v>
      </c>
      <c r="H111">
        <f>SQRT($K$3/B111*G111)</f>
        <v>1.0156670907260353E-2</v>
      </c>
    </row>
    <row r="112" spans="1:8">
      <c r="A112" s="1">
        <v>5450</v>
      </c>
      <c r="B112">
        <v>304.45999999999998</v>
      </c>
      <c r="C112">
        <v>0</v>
      </c>
      <c r="D112">
        <v>10</v>
      </c>
      <c r="E112">
        <v>0</v>
      </c>
      <c r="G112">
        <f t="shared" si="1"/>
        <v>2.9999999999995451E-3</v>
      </c>
      <c r="H112">
        <f>SQRT($K$3/B112*G112)</f>
        <v>9.8317314970005325E-3</v>
      </c>
    </row>
    <row r="113" spans="1:8">
      <c r="A113" s="1">
        <v>5500</v>
      </c>
      <c r="B113">
        <v>304.62</v>
      </c>
      <c r="C113">
        <v>0</v>
      </c>
      <c r="D113">
        <v>10</v>
      </c>
      <c r="E113">
        <v>0</v>
      </c>
      <c r="G113">
        <f t="shared" si="1"/>
        <v>3.2000000000005002E-3</v>
      </c>
      <c r="H113">
        <f>SQRT($K$3/B113*G113)</f>
        <v>1.0151501566059692E-2</v>
      </c>
    </row>
    <row r="114" spans="1:8">
      <c r="A114" s="1">
        <v>5550</v>
      </c>
      <c r="B114">
        <v>304.77</v>
      </c>
      <c r="C114">
        <v>0</v>
      </c>
      <c r="D114">
        <v>10</v>
      </c>
      <c r="E114">
        <v>0</v>
      </c>
      <c r="G114">
        <f t="shared" si="1"/>
        <v>2.9999999999995451E-3</v>
      </c>
      <c r="H114">
        <f>SQRT($K$3/B114*G114)</f>
        <v>9.8267300004732071E-3</v>
      </c>
    </row>
    <row r="115" spans="1:8">
      <c r="A115" s="1">
        <v>5600</v>
      </c>
      <c r="B115">
        <v>304.93</v>
      </c>
      <c r="C115">
        <v>0</v>
      </c>
      <c r="D115">
        <v>10</v>
      </c>
      <c r="E115">
        <v>0</v>
      </c>
      <c r="G115">
        <f t="shared" si="1"/>
        <v>3.2000000000005002E-3</v>
      </c>
      <c r="H115">
        <f>SQRT($K$3/B115*G115)</f>
        <v>1.014634010979984E-2</v>
      </c>
    </row>
    <row r="116" spans="1:8">
      <c r="A116" s="1">
        <v>5650</v>
      </c>
      <c r="B116">
        <v>305.08</v>
      </c>
      <c r="C116">
        <v>0</v>
      </c>
      <c r="D116">
        <v>10</v>
      </c>
      <c r="E116">
        <v>0</v>
      </c>
      <c r="G116">
        <f t="shared" si="1"/>
        <v>2.9999999999995451E-3</v>
      </c>
      <c r="H116">
        <f>SQRT($K$3/B116*G116)</f>
        <v>9.8217361291166125E-3</v>
      </c>
    </row>
    <row r="117" spans="1:8">
      <c r="A117" s="1">
        <v>5700</v>
      </c>
      <c r="B117">
        <v>305.24</v>
      </c>
      <c r="C117">
        <v>0</v>
      </c>
      <c r="D117">
        <v>10</v>
      </c>
      <c r="E117">
        <v>0</v>
      </c>
      <c r="G117">
        <f t="shared" si="1"/>
        <v>3.2000000000005002E-3</v>
      </c>
      <c r="H117">
        <f>SQRT($K$3/B117*G117)</f>
        <v>1.0141186518455953E-2</v>
      </c>
    </row>
    <row r="118" spans="1:8">
      <c r="A118" s="1">
        <v>5750</v>
      </c>
      <c r="B118">
        <v>305.39</v>
      </c>
      <c r="C118">
        <v>0</v>
      </c>
      <c r="D118">
        <v>10</v>
      </c>
      <c r="E118">
        <v>0</v>
      </c>
      <c r="G118">
        <f t="shared" si="1"/>
        <v>2.9999999999995451E-3</v>
      </c>
      <c r="H118">
        <f>SQRT($K$3/B118*G118)</f>
        <v>9.8167498635751416E-3</v>
      </c>
    </row>
    <row r="119" spans="1:8">
      <c r="A119" s="1">
        <v>5800</v>
      </c>
      <c r="B119">
        <v>305.55</v>
      </c>
      <c r="C119">
        <v>0</v>
      </c>
      <c r="D119">
        <v>10</v>
      </c>
      <c r="E119">
        <v>0</v>
      </c>
      <c r="G119">
        <f t="shared" si="1"/>
        <v>3.2000000000005002E-3</v>
      </c>
      <c r="H119">
        <f>SQRT($K$3/B119*G119)</f>
        <v>1.0136040772074324E-2</v>
      </c>
    </row>
    <row r="120" spans="1:8">
      <c r="A120" s="1">
        <v>5850</v>
      </c>
      <c r="B120">
        <v>305.70999999999998</v>
      </c>
      <c r="C120">
        <v>0</v>
      </c>
      <c r="D120">
        <v>10</v>
      </c>
      <c r="E120">
        <v>0</v>
      </c>
      <c r="G120">
        <f t="shared" si="1"/>
        <v>3.1999999999993635E-3</v>
      </c>
      <c r="H120">
        <f>SQRT($K$3/B120*G120)</f>
        <v>1.0133387965857802E-2</v>
      </c>
    </row>
    <row r="121" spans="1:8">
      <c r="A121" s="1">
        <v>5900</v>
      </c>
      <c r="B121">
        <v>305.86</v>
      </c>
      <c r="C121">
        <v>0</v>
      </c>
      <c r="D121">
        <v>10</v>
      </c>
      <c r="E121">
        <v>0</v>
      </c>
      <c r="G121">
        <f t="shared" si="1"/>
        <v>3.0000000000006822E-3</v>
      </c>
      <c r="H121">
        <f>SQRT($K$3/B121*G121)</f>
        <v>9.8092045057716799E-3</v>
      </c>
    </row>
    <row r="122" spans="1:8">
      <c r="A122" s="1">
        <v>5950</v>
      </c>
      <c r="B122">
        <v>306.02</v>
      </c>
      <c r="C122">
        <v>0</v>
      </c>
      <c r="D122">
        <v>10</v>
      </c>
      <c r="E122">
        <v>0</v>
      </c>
      <c r="G122">
        <f t="shared" si="1"/>
        <v>3.1999999999993635E-3</v>
      </c>
      <c r="H122">
        <f>SQRT($K$3/B122*G122)</f>
        <v>1.0128254075549913E-2</v>
      </c>
    </row>
    <row r="123" spans="1:8">
      <c r="A123" s="1">
        <v>6000</v>
      </c>
      <c r="B123">
        <v>306.17</v>
      </c>
      <c r="C123">
        <v>0</v>
      </c>
      <c r="D123">
        <v>10</v>
      </c>
      <c r="E123">
        <v>0</v>
      </c>
      <c r="G123">
        <f t="shared" si="1"/>
        <v>3.0000000000006822E-3</v>
      </c>
      <c r="H123">
        <f>SQRT($K$3/B123*G123)</f>
        <v>9.8042372922793938E-3</v>
      </c>
    </row>
    <row r="124" spans="1:8">
      <c r="A124" s="1">
        <v>6050</v>
      </c>
      <c r="B124">
        <v>306.33</v>
      </c>
      <c r="C124">
        <v>0</v>
      </c>
      <c r="D124">
        <v>10</v>
      </c>
      <c r="E124">
        <v>0</v>
      </c>
      <c r="G124">
        <f t="shared" si="1"/>
        <v>3.1999999999993635E-3</v>
      </c>
      <c r="H124">
        <f>SQRT($K$3/B124*G124)</f>
        <v>1.0123127980310627E-2</v>
      </c>
    </row>
    <row r="125" spans="1:8">
      <c r="A125" s="1">
        <v>6100</v>
      </c>
      <c r="B125">
        <v>306.49</v>
      </c>
      <c r="C125">
        <v>0</v>
      </c>
      <c r="D125">
        <v>10</v>
      </c>
      <c r="E125">
        <v>0</v>
      </c>
      <c r="G125">
        <f t="shared" si="1"/>
        <v>3.2000000000005002E-3</v>
      </c>
      <c r="H125">
        <f>SQRT($K$3/B125*G125)</f>
        <v>1.0120485297159466E-2</v>
      </c>
    </row>
    <row r="126" spans="1:8">
      <c r="A126" s="1">
        <v>6150</v>
      </c>
      <c r="B126">
        <v>306.64</v>
      </c>
      <c r="C126">
        <v>0</v>
      </c>
      <c r="D126">
        <v>10</v>
      </c>
      <c r="E126">
        <v>0</v>
      </c>
      <c r="G126">
        <f t="shared" si="1"/>
        <v>2.9999999999995451E-3</v>
      </c>
      <c r="H126">
        <f>SQRT($K$3/B126*G126)</f>
        <v>9.7967207279066569E-3</v>
      </c>
    </row>
    <row r="127" spans="1:8">
      <c r="A127" s="1">
        <v>6200</v>
      </c>
      <c r="B127">
        <v>306.8</v>
      </c>
      <c r="C127">
        <v>0</v>
      </c>
      <c r="D127">
        <v>10</v>
      </c>
      <c r="E127">
        <v>0</v>
      </c>
      <c r="G127">
        <f t="shared" si="1"/>
        <v>3.2000000000005002E-3</v>
      </c>
      <c r="H127">
        <f>SQRT($K$3/B127*G127)</f>
        <v>1.0115370982685523E-2</v>
      </c>
    </row>
    <row r="128" spans="1:8">
      <c r="A128" s="1">
        <v>6250</v>
      </c>
      <c r="B128">
        <v>306.95</v>
      </c>
      <c r="C128">
        <v>0</v>
      </c>
      <c r="D128">
        <v>10</v>
      </c>
      <c r="E128">
        <v>0</v>
      </c>
      <c r="G128">
        <f t="shared" si="1"/>
        <v>2.9999999999995451E-3</v>
      </c>
      <c r="H128">
        <f>SQRT($K$3/B128*G128)</f>
        <v>9.7917724454450478E-3</v>
      </c>
    </row>
    <row r="129" spans="1:8">
      <c r="A129" s="1">
        <v>6300</v>
      </c>
      <c r="B129">
        <v>307.11</v>
      </c>
      <c r="C129">
        <v>0</v>
      </c>
      <c r="D129">
        <v>10</v>
      </c>
      <c r="E129">
        <v>0</v>
      </c>
      <c r="G129">
        <f t="shared" si="1"/>
        <v>3.2000000000005002E-3</v>
      </c>
      <c r="H129">
        <f>SQRT($K$3/B129*G129)</f>
        <v>1.0110264413829661E-2</v>
      </c>
    </row>
    <row r="130" spans="1:8">
      <c r="A130" s="1">
        <v>6350</v>
      </c>
      <c r="B130">
        <v>307.27</v>
      </c>
      <c r="C130">
        <v>0</v>
      </c>
      <c r="D130">
        <v>10</v>
      </c>
      <c r="E130">
        <v>0</v>
      </c>
      <c r="G130">
        <f t="shared" si="1"/>
        <v>3.1999999999993635E-3</v>
      </c>
      <c r="H130">
        <f>SQRT($K$3/B130*G130)</f>
        <v>1.0107631789517679E-2</v>
      </c>
    </row>
    <row r="131" spans="1:8">
      <c r="A131" s="1">
        <v>6400</v>
      </c>
      <c r="B131">
        <v>307.42</v>
      </c>
      <c r="C131">
        <v>0</v>
      </c>
      <c r="D131">
        <v>10</v>
      </c>
      <c r="E131">
        <v>0</v>
      </c>
      <c r="G131">
        <f t="shared" si="1"/>
        <v>3.0000000000006822E-3</v>
      </c>
      <c r="H131">
        <f>SQRT($K$3/B131*G131)</f>
        <v>9.7842844918467151E-3</v>
      </c>
    </row>
    <row r="132" spans="1:8">
      <c r="A132" s="1">
        <v>6450</v>
      </c>
      <c r="B132">
        <v>307.58</v>
      </c>
      <c r="C132">
        <v>0</v>
      </c>
      <c r="D132">
        <v>10</v>
      </c>
      <c r="E132">
        <v>0</v>
      </c>
      <c r="G132">
        <f t="shared" si="1"/>
        <v>3.1999999999993635E-3</v>
      </c>
      <c r="H132">
        <f>SQRT($K$3/B132*G132)</f>
        <v>1.0102536926786761E-2</v>
      </c>
    </row>
    <row r="133" spans="1:8">
      <c r="A133" s="1">
        <v>6500</v>
      </c>
      <c r="B133">
        <v>307.74</v>
      </c>
      <c r="C133">
        <v>0</v>
      </c>
      <c r="D133">
        <v>10</v>
      </c>
      <c r="E133">
        <v>0</v>
      </c>
      <c r="G133">
        <f t="shared" ref="G133:G196" si="2">(B133-B132)/(A133-A132)</f>
        <v>3.2000000000005002E-3</v>
      </c>
      <c r="H133">
        <f>SQRT($K$3/B133*G133)</f>
        <v>1.0099910332808043E-2</v>
      </c>
    </row>
    <row r="134" spans="1:8">
      <c r="A134" s="1">
        <v>6550</v>
      </c>
      <c r="B134">
        <v>307.89999999999998</v>
      </c>
      <c r="C134">
        <v>0</v>
      </c>
      <c r="D134">
        <v>10</v>
      </c>
      <c r="E134">
        <v>0</v>
      </c>
      <c r="G134">
        <f t="shared" si="2"/>
        <v>3.1999999999993635E-3</v>
      </c>
      <c r="H134">
        <f>SQRT($K$3/B134*G134)</f>
        <v>1.0097285786453147E-2</v>
      </c>
    </row>
    <row r="135" spans="1:8">
      <c r="A135" s="1">
        <v>6600</v>
      </c>
      <c r="B135">
        <v>308.05</v>
      </c>
      <c r="C135">
        <v>0</v>
      </c>
      <c r="D135">
        <v>10</v>
      </c>
      <c r="E135">
        <v>0</v>
      </c>
      <c r="G135">
        <f t="shared" si="2"/>
        <v>3.0000000000006822E-3</v>
      </c>
      <c r="H135">
        <f>SQRT($K$3/B135*G135)</f>
        <v>9.7742743408302368E-3</v>
      </c>
    </row>
    <row r="136" spans="1:8">
      <c r="A136" s="1">
        <v>6650</v>
      </c>
      <c r="B136">
        <v>308.20999999999998</v>
      </c>
      <c r="C136">
        <v>0</v>
      </c>
      <c r="D136">
        <v>10</v>
      </c>
      <c r="E136">
        <v>0</v>
      </c>
      <c r="G136">
        <f t="shared" si="2"/>
        <v>3.1999999999993635E-3</v>
      </c>
      <c r="H136">
        <f>SQRT($K$3/B136*G136)</f>
        <v>1.0092206544906305E-2</v>
      </c>
    </row>
    <row r="137" spans="1:8">
      <c r="A137" s="1">
        <v>6700</v>
      </c>
      <c r="B137">
        <v>308.37</v>
      </c>
      <c r="C137">
        <v>0</v>
      </c>
      <c r="D137">
        <v>10</v>
      </c>
      <c r="E137">
        <v>0</v>
      </c>
      <c r="G137">
        <f t="shared" si="2"/>
        <v>3.2000000000005002E-3</v>
      </c>
      <c r="H137">
        <f>SQRT($K$3/B137*G137)</f>
        <v>1.0089587998100513E-2</v>
      </c>
    </row>
    <row r="138" spans="1:8">
      <c r="A138" s="1">
        <v>6750</v>
      </c>
      <c r="B138">
        <v>308.52</v>
      </c>
      <c r="C138">
        <v>0</v>
      </c>
      <c r="D138">
        <v>10</v>
      </c>
      <c r="E138">
        <v>0</v>
      </c>
      <c r="G138">
        <f t="shared" si="2"/>
        <v>2.9999999999995451E-3</v>
      </c>
      <c r="H138">
        <f>SQRT($K$3/B138*G138)</f>
        <v>9.766826428429352E-3</v>
      </c>
    </row>
    <row r="139" spans="1:8">
      <c r="A139" s="1">
        <v>6800</v>
      </c>
      <c r="B139">
        <v>308.68</v>
      </c>
      <c r="C139">
        <v>0</v>
      </c>
      <c r="D139">
        <v>10</v>
      </c>
      <c r="E139">
        <v>0</v>
      </c>
      <c r="G139">
        <f t="shared" si="2"/>
        <v>3.2000000000005002E-3</v>
      </c>
      <c r="H139">
        <f>SQRT($K$3/B139*G139)</f>
        <v>1.0084520358537125E-2</v>
      </c>
    </row>
    <row r="140" spans="1:8">
      <c r="A140" s="1">
        <v>6850</v>
      </c>
      <c r="B140">
        <v>308.83999999999997</v>
      </c>
      <c r="C140">
        <v>0</v>
      </c>
      <c r="D140">
        <v>10</v>
      </c>
      <c r="E140">
        <v>0</v>
      </c>
      <c r="G140">
        <f t="shared" si="2"/>
        <v>3.1999999999993635E-3</v>
      </c>
      <c r="H140">
        <f>SQRT($K$3/B140*G140)</f>
        <v>1.0081907788450421E-2</v>
      </c>
    </row>
    <row r="141" spans="1:8">
      <c r="A141" s="1">
        <v>6900</v>
      </c>
      <c r="B141">
        <v>309</v>
      </c>
      <c r="C141">
        <v>0</v>
      </c>
      <c r="D141">
        <v>10</v>
      </c>
      <c r="E141">
        <v>0</v>
      </c>
      <c r="G141">
        <f t="shared" si="2"/>
        <v>3.2000000000005002E-3</v>
      </c>
      <c r="H141">
        <f>SQRT($K$3/B141*G141)</f>
        <v>1.0079297247810714E-2</v>
      </c>
    </row>
    <row r="142" spans="1:8">
      <c r="A142" s="1">
        <v>6950</v>
      </c>
      <c r="B142">
        <v>309.14999999999998</v>
      </c>
      <c r="C142">
        <v>0</v>
      </c>
      <c r="D142">
        <v>10</v>
      </c>
      <c r="E142">
        <v>0</v>
      </c>
      <c r="G142">
        <f t="shared" si="2"/>
        <v>2.9999999999995451E-3</v>
      </c>
      <c r="H142">
        <f>SQRT($K$3/B142*G142)</f>
        <v>9.7568697106297318E-3</v>
      </c>
    </row>
    <row r="143" spans="1:8">
      <c r="A143" s="1">
        <v>7000</v>
      </c>
      <c r="B143">
        <v>309.31</v>
      </c>
      <c r="C143">
        <v>0</v>
      </c>
      <c r="D143">
        <v>10</v>
      </c>
      <c r="E143">
        <v>0</v>
      </c>
      <c r="G143">
        <f t="shared" si="2"/>
        <v>3.2000000000005002E-3</v>
      </c>
      <c r="H143">
        <f>SQRT($K$3/B143*G143)</f>
        <v>1.0074245090707033E-2</v>
      </c>
    </row>
    <row r="144" spans="1:8">
      <c r="A144" s="1">
        <v>7050</v>
      </c>
      <c r="B144">
        <v>309.47000000000003</v>
      </c>
      <c r="C144">
        <v>0</v>
      </c>
      <c r="D144">
        <v>10</v>
      </c>
      <c r="E144">
        <v>0</v>
      </c>
      <c r="G144">
        <f t="shared" si="2"/>
        <v>3.2000000000005002E-3</v>
      </c>
      <c r="H144">
        <f>SQRT($K$3/B144*G144)</f>
        <v>1.00716404963861E-2</v>
      </c>
    </row>
    <row r="145" spans="1:8">
      <c r="A145" s="1">
        <v>7100</v>
      </c>
      <c r="B145">
        <v>309.63</v>
      </c>
      <c r="C145">
        <v>0</v>
      </c>
      <c r="D145">
        <v>10</v>
      </c>
      <c r="E145">
        <v>0</v>
      </c>
      <c r="G145">
        <f t="shared" si="2"/>
        <v>3.1999999999993635E-3</v>
      </c>
      <c r="H145">
        <f>SQRT($K$3/B145*G145)</f>
        <v>1.0069037921194018E-2</v>
      </c>
    </row>
    <row r="146" spans="1:8">
      <c r="A146" s="1">
        <v>7150</v>
      </c>
      <c r="B146">
        <v>309.79000000000002</v>
      </c>
      <c r="C146">
        <v>0</v>
      </c>
      <c r="D146">
        <v>10</v>
      </c>
      <c r="E146">
        <v>0</v>
      </c>
      <c r="G146">
        <f t="shared" si="2"/>
        <v>3.2000000000005002E-3</v>
      </c>
      <c r="H146">
        <f>SQRT($K$3/B146*G146)</f>
        <v>1.0066437362528718E-2</v>
      </c>
    </row>
    <row r="147" spans="1:8">
      <c r="A147" s="1">
        <v>7200</v>
      </c>
      <c r="B147">
        <v>309.94</v>
      </c>
      <c r="C147">
        <v>0</v>
      </c>
      <c r="D147">
        <v>10</v>
      </c>
      <c r="E147">
        <v>0</v>
      </c>
      <c r="G147">
        <f t="shared" si="2"/>
        <v>2.9999999999995451E-3</v>
      </c>
      <c r="H147">
        <f>SQRT($K$3/B147*G147)</f>
        <v>9.7444272298478057E-3</v>
      </c>
    </row>
    <row r="148" spans="1:8">
      <c r="A148" s="1">
        <v>7250</v>
      </c>
      <c r="B148">
        <v>310.10000000000002</v>
      </c>
      <c r="C148">
        <v>0</v>
      </c>
      <c r="D148">
        <v>10</v>
      </c>
      <c r="E148">
        <v>0</v>
      </c>
      <c r="G148">
        <f t="shared" si="2"/>
        <v>3.2000000000005002E-3</v>
      </c>
      <c r="H148">
        <f>SQRT($K$3/B148*G148)</f>
        <v>1.0061404508820615E-2</v>
      </c>
    </row>
    <row r="149" spans="1:8">
      <c r="A149" s="1">
        <v>7300</v>
      </c>
      <c r="B149">
        <v>310.26</v>
      </c>
      <c r="C149">
        <v>0</v>
      </c>
      <c r="D149">
        <v>10</v>
      </c>
      <c r="E149">
        <v>0</v>
      </c>
      <c r="G149">
        <f t="shared" si="2"/>
        <v>3.1999999999993635E-3</v>
      </c>
      <c r="H149">
        <f>SQRT($K$3/B149*G149)</f>
        <v>1.0058809858654139E-2</v>
      </c>
    </row>
    <row r="150" spans="1:8">
      <c r="A150" s="1">
        <v>7350</v>
      </c>
      <c r="B150">
        <v>310.42</v>
      </c>
      <c r="C150">
        <v>0</v>
      </c>
      <c r="D150">
        <v>10</v>
      </c>
      <c r="E150">
        <v>0</v>
      </c>
      <c r="G150">
        <f t="shared" si="2"/>
        <v>3.2000000000005002E-3</v>
      </c>
      <c r="H150">
        <f>SQRT($K$3/B150*G150)</f>
        <v>1.0056217214793373E-2</v>
      </c>
    </row>
    <row r="151" spans="1:8">
      <c r="A151" s="1">
        <v>7400</v>
      </c>
      <c r="B151">
        <v>310.58</v>
      </c>
      <c r="C151">
        <v>0</v>
      </c>
      <c r="D151">
        <v>10</v>
      </c>
      <c r="E151">
        <v>0</v>
      </c>
      <c r="G151">
        <f t="shared" si="2"/>
        <v>3.1999999999993635E-3</v>
      </c>
      <c r="H151">
        <f>SQRT($K$3/B151*G151)</f>
        <v>1.0053626574646894E-2</v>
      </c>
    </row>
    <row r="152" spans="1:8">
      <c r="A152" s="1">
        <v>7450</v>
      </c>
      <c r="B152">
        <v>310.73</v>
      </c>
      <c r="C152">
        <v>0</v>
      </c>
      <c r="D152">
        <v>10</v>
      </c>
      <c r="E152">
        <v>0</v>
      </c>
      <c r="G152">
        <f t="shared" si="2"/>
        <v>3.0000000000006822E-3</v>
      </c>
      <c r="H152">
        <f>SQRT($K$3/B152*G152)</f>
        <v>9.7320322299262029E-3</v>
      </c>
    </row>
    <row r="153" spans="1:8">
      <c r="A153" s="1">
        <v>7500</v>
      </c>
      <c r="B153">
        <v>310.89</v>
      </c>
      <c r="C153">
        <v>0</v>
      </c>
      <c r="D153">
        <v>10</v>
      </c>
      <c r="E153">
        <v>0</v>
      </c>
      <c r="G153">
        <f t="shared" si="2"/>
        <v>3.1999999999993635E-3</v>
      </c>
      <c r="H153">
        <f>SQRT($K$3/B153*G153)</f>
        <v>1.0048612901721963E-2</v>
      </c>
    </row>
    <row r="154" spans="1:8">
      <c r="A154" s="1">
        <v>7550</v>
      </c>
      <c r="B154">
        <v>311.05</v>
      </c>
      <c r="C154">
        <v>0</v>
      </c>
      <c r="D154">
        <v>10</v>
      </c>
      <c r="E154">
        <v>0</v>
      </c>
      <c r="G154">
        <f t="shared" si="2"/>
        <v>3.2000000000005002E-3</v>
      </c>
      <c r="H154">
        <f>SQRT($K$3/B154*G154)</f>
        <v>1.0046028132599163E-2</v>
      </c>
    </row>
    <row r="155" spans="1:8">
      <c r="A155" s="1">
        <v>7600</v>
      </c>
      <c r="B155">
        <v>311.20999999999998</v>
      </c>
      <c r="C155">
        <v>0</v>
      </c>
      <c r="D155">
        <v>10</v>
      </c>
      <c r="E155">
        <v>0</v>
      </c>
      <c r="G155">
        <f t="shared" si="2"/>
        <v>3.1999999999993635E-3</v>
      </c>
      <c r="H155">
        <f>SQRT($K$3/B155*G155)</f>
        <v>1.0043445357060246E-2</v>
      </c>
    </row>
    <row r="156" spans="1:8">
      <c r="A156" s="1">
        <v>7650</v>
      </c>
      <c r="B156">
        <v>311.37</v>
      </c>
      <c r="C156">
        <v>0</v>
      </c>
      <c r="D156">
        <v>10</v>
      </c>
      <c r="E156">
        <v>0</v>
      </c>
      <c r="G156">
        <f t="shared" si="2"/>
        <v>3.2000000000005002E-3</v>
      </c>
      <c r="H156">
        <f>SQRT($K$3/B156*G156)</f>
        <v>1.0040864572550963E-2</v>
      </c>
    </row>
    <row r="157" spans="1:8">
      <c r="A157" s="1">
        <v>7700</v>
      </c>
      <c r="B157">
        <v>311.52999999999997</v>
      </c>
      <c r="C157">
        <v>0</v>
      </c>
      <c r="D157">
        <v>10</v>
      </c>
      <c r="E157">
        <v>0</v>
      </c>
      <c r="G157">
        <f t="shared" si="2"/>
        <v>3.1999999999993635E-3</v>
      </c>
      <c r="H157">
        <f>SQRT($K$3/B157*G157)</f>
        <v>1.0038285776507408E-2</v>
      </c>
    </row>
    <row r="158" spans="1:8">
      <c r="A158" s="1">
        <v>7750</v>
      </c>
      <c r="B158">
        <v>311.69</v>
      </c>
      <c r="C158">
        <v>0</v>
      </c>
      <c r="D158">
        <v>10</v>
      </c>
      <c r="E158">
        <v>0</v>
      </c>
      <c r="G158">
        <f t="shared" si="2"/>
        <v>3.2000000000005002E-3</v>
      </c>
      <c r="H158">
        <f>SQRT($K$3/B158*G158)</f>
        <v>1.0035708966384525E-2</v>
      </c>
    </row>
    <row r="159" spans="1:8">
      <c r="A159" s="1">
        <v>7800</v>
      </c>
      <c r="B159">
        <v>311.85000000000002</v>
      </c>
      <c r="C159">
        <v>0</v>
      </c>
      <c r="D159">
        <v>10</v>
      </c>
      <c r="E159">
        <v>0</v>
      </c>
      <c r="G159">
        <f t="shared" si="2"/>
        <v>3.2000000000005002E-3</v>
      </c>
      <c r="H159">
        <f>SQRT($K$3/B159*G159)</f>
        <v>1.0033134139629371E-2</v>
      </c>
    </row>
    <row r="160" spans="1:8">
      <c r="A160" s="1">
        <v>7850</v>
      </c>
      <c r="B160">
        <v>312</v>
      </c>
      <c r="C160">
        <v>0</v>
      </c>
      <c r="D160">
        <v>10</v>
      </c>
      <c r="E160">
        <v>0</v>
      </c>
      <c r="G160">
        <f t="shared" si="2"/>
        <v>2.9999999999995451E-3</v>
      </c>
      <c r="H160">
        <f>SQRT($K$3/B160*G160)</f>
        <v>9.7122048514695566E-3</v>
      </c>
    </row>
    <row r="161" spans="1:8">
      <c r="A161" s="1">
        <v>7900</v>
      </c>
      <c r="B161">
        <v>312.16000000000003</v>
      </c>
      <c r="C161">
        <v>0</v>
      </c>
      <c r="D161">
        <v>10</v>
      </c>
      <c r="E161">
        <v>0</v>
      </c>
      <c r="G161">
        <f t="shared" si="2"/>
        <v>3.2000000000005002E-3</v>
      </c>
      <c r="H161">
        <f>SQRT($K$3/B161*G161)</f>
        <v>1.0028151047377899E-2</v>
      </c>
    </row>
    <row r="162" spans="1:8">
      <c r="A162" s="1">
        <v>7950</v>
      </c>
      <c r="B162">
        <v>312.32</v>
      </c>
      <c r="C162">
        <v>0</v>
      </c>
      <c r="D162">
        <v>10</v>
      </c>
      <c r="E162">
        <v>0</v>
      </c>
      <c r="G162">
        <f t="shared" si="2"/>
        <v>3.1999999999993635E-3</v>
      </c>
      <c r="H162">
        <f>SQRT($K$3/B162*G162)</f>
        <v>1.0025582032079096E-2</v>
      </c>
    </row>
    <row r="163" spans="1:8">
      <c r="A163" s="1">
        <v>8000</v>
      </c>
      <c r="B163">
        <v>312.48</v>
      </c>
      <c r="C163">
        <v>0</v>
      </c>
      <c r="D163">
        <v>10</v>
      </c>
      <c r="E163">
        <v>0</v>
      </c>
      <c r="G163">
        <f t="shared" si="2"/>
        <v>3.2000000000005002E-3</v>
      </c>
      <c r="H163">
        <f>SQRT($K$3/B163*G163)</f>
        <v>1.0023014990166544E-2</v>
      </c>
    </row>
    <row r="164" spans="1:8">
      <c r="A164" s="1">
        <v>8050</v>
      </c>
      <c r="B164">
        <v>312.64</v>
      </c>
      <c r="C164">
        <v>0</v>
      </c>
      <c r="D164">
        <v>10</v>
      </c>
      <c r="E164">
        <v>0</v>
      </c>
      <c r="G164">
        <f t="shared" si="2"/>
        <v>3.1999999999993635E-3</v>
      </c>
      <c r="H164">
        <f>SQRT($K$3/B164*G164)</f>
        <v>1.0020449919108002E-2</v>
      </c>
    </row>
    <row r="165" spans="1:8">
      <c r="A165" s="1">
        <v>8100</v>
      </c>
      <c r="B165">
        <v>312.8</v>
      </c>
      <c r="C165">
        <v>0</v>
      </c>
      <c r="D165">
        <v>10</v>
      </c>
      <c r="E165">
        <v>0</v>
      </c>
      <c r="G165">
        <f t="shared" si="2"/>
        <v>3.2000000000005002E-3</v>
      </c>
      <c r="H165">
        <f>SQRT($K$3/B165*G165)</f>
        <v>1.0017886816389989E-2</v>
      </c>
    </row>
    <row r="166" spans="1:8">
      <c r="A166" s="1">
        <v>8150</v>
      </c>
      <c r="B166">
        <v>312.95999999999998</v>
      </c>
      <c r="C166">
        <v>0</v>
      </c>
      <c r="D166">
        <v>10</v>
      </c>
      <c r="E166">
        <v>0</v>
      </c>
      <c r="G166">
        <f t="shared" si="2"/>
        <v>3.1999999999993635E-3</v>
      </c>
      <c r="H166">
        <f>SQRT($K$3/B166*G166)</f>
        <v>1.0015325679489297E-2</v>
      </c>
    </row>
    <row r="167" spans="1:8">
      <c r="A167" s="1">
        <v>8200</v>
      </c>
      <c r="B167">
        <v>313.12</v>
      </c>
      <c r="C167">
        <v>0</v>
      </c>
      <c r="D167">
        <v>10</v>
      </c>
      <c r="E167">
        <v>0</v>
      </c>
      <c r="G167">
        <f t="shared" si="2"/>
        <v>3.2000000000005002E-3</v>
      </c>
      <c r="H167">
        <f>SQRT($K$3/B167*G167)</f>
        <v>1.001276650590145E-2</v>
      </c>
    </row>
    <row r="168" spans="1:8">
      <c r="A168" s="1">
        <v>8250</v>
      </c>
      <c r="B168">
        <v>313.27999999999997</v>
      </c>
      <c r="C168">
        <v>0</v>
      </c>
      <c r="D168">
        <v>10</v>
      </c>
      <c r="E168">
        <v>0</v>
      </c>
      <c r="G168">
        <f t="shared" si="2"/>
        <v>3.1999999999993635E-3</v>
      </c>
      <c r="H168">
        <f>SQRT($K$3/B168*G168)</f>
        <v>1.0010209293112238E-2</v>
      </c>
    </row>
    <row r="169" spans="1:8">
      <c r="A169" s="1">
        <v>8300</v>
      </c>
      <c r="B169">
        <v>313.44</v>
      </c>
      <c r="C169">
        <v>0</v>
      </c>
      <c r="D169">
        <v>10</v>
      </c>
      <c r="E169">
        <v>0</v>
      </c>
      <c r="G169">
        <f t="shared" si="2"/>
        <v>3.2000000000005002E-3</v>
      </c>
      <c r="H169">
        <f>SQRT($K$3/B169*G169)</f>
        <v>1.0007654038626154E-2</v>
      </c>
    </row>
    <row r="170" spans="1:8">
      <c r="A170" s="1">
        <v>8350</v>
      </c>
      <c r="B170">
        <v>313.60000000000002</v>
      </c>
      <c r="C170">
        <v>0</v>
      </c>
      <c r="D170">
        <v>10</v>
      </c>
      <c r="E170">
        <v>0</v>
      </c>
      <c r="G170">
        <f t="shared" si="2"/>
        <v>3.2000000000005002E-3</v>
      </c>
      <c r="H170">
        <f>SQRT($K$3/B170*G170)</f>
        <v>1.0005100739939711E-2</v>
      </c>
    </row>
    <row r="171" spans="1:8">
      <c r="A171" s="1">
        <v>8400</v>
      </c>
      <c r="B171">
        <v>313.76</v>
      </c>
      <c r="C171">
        <v>0</v>
      </c>
      <c r="D171">
        <v>10</v>
      </c>
      <c r="E171">
        <v>0</v>
      </c>
      <c r="G171">
        <f t="shared" si="2"/>
        <v>3.1999999999993635E-3</v>
      </c>
      <c r="H171">
        <f>SQRT($K$3/B171*G171)</f>
        <v>1.0002549394559227E-2</v>
      </c>
    </row>
    <row r="172" spans="1:8">
      <c r="A172" s="1">
        <v>8450</v>
      </c>
      <c r="B172">
        <v>313.92</v>
      </c>
      <c r="C172">
        <v>0</v>
      </c>
      <c r="D172">
        <v>10</v>
      </c>
      <c r="E172">
        <v>0</v>
      </c>
      <c r="G172">
        <f t="shared" si="2"/>
        <v>3.2000000000005002E-3</v>
      </c>
      <c r="H172">
        <f>SQRT($K$3/B172*G172)</f>
        <v>1.0000000000000781E-2</v>
      </c>
    </row>
    <row r="173" spans="1:8">
      <c r="A173" s="1">
        <v>8500</v>
      </c>
      <c r="B173">
        <v>314.08</v>
      </c>
      <c r="C173">
        <v>0</v>
      </c>
      <c r="D173">
        <v>10</v>
      </c>
      <c r="E173">
        <v>0</v>
      </c>
      <c r="G173">
        <f t="shared" si="2"/>
        <v>3.1999999999993635E-3</v>
      </c>
      <c r="H173">
        <f>SQRT($K$3/B173*G173)</f>
        <v>9.9974525537724727E-3</v>
      </c>
    </row>
    <row r="174" spans="1:8">
      <c r="A174" s="1">
        <v>8550</v>
      </c>
      <c r="B174">
        <v>314.24</v>
      </c>
      <c r="C174">
        <v>0</v>
      </c>
      <c r="D174">
        <v>10</v>
      </c>
      <c r="E174">
        <v>0</v>
      </c>
      <c r="G174">
        <f t="shared" si="2"/>
        <v>3.2000000000005002E-3</v>
      </c>
      <c r="H174">
        <f>SQRT($K$3/B174*G174)</f>
        <v>9.9949070534010274E-3</v>
      </c>
    </row>
    <row r="175" spans="1:8">
      <c r="A175" s="1">
        <v>8600</v>
      </c>
      <c r="B175">
        <v>314.39999999999998</v>
      </c>
      <c r="C175">
        <v>0</v>
      </c>
      <c r="D175">
        <v>10</v>
      </c>
      <c r="E175">
        <v>0</v>
      </c>
      <c r="G175">
        <f t="shared" si="2"/>
        <v>3.1999999999993635E-3</v>
      </c>
      <c r="H175">
        <f>SQRT($K$3/B175*G175)</f>
        <v>9.9923634964033895E-3</v>
      </c>
    </row>
    <row r="176" spans="1:8">
      <c r="A176" s="1">
        <v>8650</v>
      </c>
      <c r="B176">
        <v>314.56</v>
      </c>
      <c r="C176">
        <v>0</v>
      </c>
      <c r="D176">
        <v>10</v>
      </c>
      <c r="E176">
        <v>0</v>
      </c>
      <c r="G176">
        <f t="shared" si="2"/>
        <v>3.2000000000005002E-3</v>
      </c>
      <c r="H176">
        <f>SQRT($K$3/B176*G176)</f>
        <v>9.9898218803151102E-3</v>
      </c>
    </row>
    <row r="177" spans="1:8">
      <c r="A177" s="1">
        <v>8700</v>
      </c>
      <c r="B177">
        <v>314.72000000000003</v>
      </c>
      <c r="C177">
        <v>0</v>
      </c>
      <c r="D177">
        <v>10</v>
      </c>
      <c r="E177">
        <v>0</v>
      </c>
      <c r="G177">
        <f t="shared" si="2"/>
        <v>3.2000000000005002E-3</v>
      </c>
      <c r="H177">
        <f>SQRT($K$3/B177*G177)</f>
        <v>9.9872822026637175E-3</v>
      </c>
    </row>
    <row r="178" spans="1:8">
      <c r="A178" s="1">
        <v>8750</v>
      </c>
      <c r="B178">
        <v>314.88</v>
      </c>
      <c r="C178">
        <v>0</v>
      </c>
      <c r="D178">
        <v>10</v>
      </c>
      <c r="E178">
        <v>0</v>
      </c>
      <c r="G178">
        <f t="shared" si="2"/>
        <v>3.1999999999993635E-3</v>
      </c>
      <c r="H178">
        <f>SQRT($K$3/B178*G178)</f>
        <v>9.9847444609864559E-3</v>
      </c>
    </row>
    <row r="179" spans="1:8">
      <c r="A179" s="1">
        <v>8800</v>
      </c>
      <c r="B179">
        <v>315.04000000000002</v>
      </c>
      <c r="C179">
        <v>0</v>
      </c>
      <c r="D179">
        <v>10</v>
      </c>
      <c r="E179">
        <v>0</v>
      </c>
      <c r="G179">
        <f t="shared" si="2"/>
        <v>3.2000000000005002E-3</v>
      </c>
      <c r="H179">
        <f>SQRT($K$3/B179*G179)</f>
        <v>9.9822086528302562E-3</v>
      </c>
    </row>
    <row r="180" spans="1:8">
      <c r="A180" s="1">
        <v>8850</v>
      </c>
      <c r="B180">
        <v>315.2</v>
      </c>
      <c r="C180">
        <v>0</v>
      </c>
      <c r="D180">
        <v>10</v>
      </c>
      <c r="E180">
        <v>0</v>
      </c>
      <c r="G180">
        <f t="shared" si="2"/>
        <v>3.1999999999993635E-3</v>
      </c>
      <c r="H180">
        <f>SQRT($K$3/B180*G180)</f>
        <v>9.9796747757340178E-3</v>
      </c>
    </row>
    <row r="181" spans="1:8">
      <c r="A181" s="1">
        <v>8900</v>
      </c>
      <c r="B181">
        <v>315.36</v>
      </c>
      <c r="C181">
        <v>0</v>
      </c>
      <c r="D181">
        <v>10</v>
      </c>
      <c r="E181">
        <v>0</v>
      </c>
      <c r="G181">
        <f t="shared" si="2"/>
        <v>3.2000000000005002E-3</v>
      </c>
      <c r="H181">
        <f>SQRT($K$3/B181*G181)</f>
        <v>9.9771428272551737E-3</v>
      </c>
    </row>
    <row r="182" spans="1:8">
      <c r="A182" s="1">
        <v>8950</v>
      </c>
      <c r="B182">
        <v>315.52</v>
      </c>
      <c r="C182">
        <v>0</v>
      </c>
      <c r="D182">
        <v>10</v>
      </c>
      <c r="E182">
        <v>0</v>
      </c>
      <c r="G182">
        <f t="shared" si="2"/>
        <v>3.1999999999993635E-3</v>
      </c>
      <c r="H182">
        <f>SQRT($K$3/B182*G182)</f>
        <v>9.9746128049413279E-3</v>
      </c>
    </row>
    <row r="183" spans="1:8">
      <c r="A183" s="1">
        <v>9000</v>
      </c>
      <c r="B183">
        <v>315.69</v>
      </c>
      <c r="C183">
        <v>0</v>
      </c>
      <c r="D183">
        <v>10</v>
      </c>
      <c r="E183">
        <v>0</v>
      </c>
      <c r="G183">
        <f t="shared" si="2"/>
        <v>3.4000000000003181E-3</v>
      </c>
      <c r="H183">
        <f>SQRT($K$3/B183*G183)</f>
        <v>1.0278826834739262E-2</v>
      </c>
    </row>
    <row r="184" spans="1:8">
      <c r="A184" s="1">
        <v>9050</v>
      </c>
      <c r="B184">
        <v>315.85000000000002</v>
      </c>
      <c r="C184">
        <v>0</v>
      </c>
      <c r="D184">
        <v>10</v>
      </c>
      <c r="E184">
        <v>0</v>
      </c>
      <c r="G184">
        <f t="shared" si="2"/>
        <v>3.2000000000005002E-3</v>
      </c>
      <c r="H184">
        <f>SQRT($K$3/B184*G184)</f>
        <v>9.9694007067214971E-3</v>
      </c>
    </row>
    <row r="185" spans="1:8">
      <c r="A185" s="1">
        <v>9100</v>
      </c>
      <c r="B185">
        <v>316.01</v>
      </c>
      <c r="C185">
        <v>0</v>
      </c>
      <c r="D185">
        <v>10</v>
      </c>
      <c r="E185">
        <v>0</v>
      </c>
      <c r="G185">
        <f t="shared" si="2"/>
        <v>3.1999999999993635E-3</v>
      </c>
      <c r="H185">
        <f>SQRT($K$3/B185*G185)</f>
        <v>9.9668765681327678E-3</v>
      </c>
    </row>
    <row r="186" spans="1:8">
      <c r="A186" s="1">
        <v>9150</v>
      </c>
      <c r="B186">
        <v>316.17</v>
      </c>
      <c r="C186">
        <v>0</v>
      </c>
      <c r="D186">
        <v>10</v>
      </c>
      <c r="E186">
        <v>0</v>
      </c>
      <c r="G186">
        <f t="shared" si="2"/>
        <v>3.2000000000005002E-3</v>
      </c>
      <c r="H186">
        <f>SQRT($K$3/B186*G186)</f>
        <v>9.9643543458265704E-3</v>
      </c>
    </row>
    <row r="187" spans="1:8">
      <c r="A187" s="1">
        <v>9200</v>
      </c>
      <c r="B187">
        <v>316.33</v>
      </c>
      <c r="C187">
        <v>0</v>
      </c>
      <c r="D187">
        <v>10</v>
      </c>
      <c r="E187">
        <v>0</v>
      </c>
      <c r="G187">
        <f t="shared" si="2"/>
        <v>3.1999999999993635E-3</v>
      </c>
      <c r="H187">
        <f>SQRT($K$3/B187*G187)</f>
        <v>9.9618340373723788E-3</v>
      </c>
    </row>
    <row r="188" spans="1:8">
      <c r="A188" s="1">
        <v>9250</v>
      </c>
      <c r="B188">
        <v>316.49</v>
      </c>
      <c r="C188">
        <v>0</v>
      </c>
      <c r="D188">
        <v>10</v>
      </c>
      <c r="E188">
        <v>0</v>
      </c>
      <c r="G188">
        <f t="shared" si="2"/>
        <v>3.2000000000005002E-3</v>
      </c>
      <c r="H188">
        <f>SQRT($K$3/B188*G188)</f>
        <v>9.9593156403581101E-3</v>
      </c>
    </row>
    <row r="189" spans="1:8">
      <c r="A189" s="1">
        <v>9300</v>
      </c>
      <c r="B189">
        <v>316.64999999999998</v>
      </c>
      <c r="C189">
        <v>0</v>
      </c>
      <c r="D189">
        <v>10</v>
      </c>
      <c r="E189">
        <v>0</v>
      </c>
      <c r="G189">
        <f t="shared" si="2"/>
        <v>3.1999999999993635E-3</v>
      </c>
      <c r="H189">
        <f>SQRT($K$3/B189*G189)</f>
        <v>9.9567991523618147E-3</v>
      </c>
    </row>
    <row r="190" spans="1:8">
      <c r="A190" s="1">
        <v>9350</v>
      </c>
      <c r="B190">
        <v>316.81</v>
      </c>
      <c r="C190">
        <v>0</v>
      </c>
      <c r="D190">
        <v>10</v>
      </c>
      <c r="E190">
        <v>0</v>
      </c>
      <c r="G190">
        <f t="shared" si="2"/>
        <v>3.2000000000005002E-3</v>
      </c>
      <c r="H190">
        <f>SQRT($K$3/B190*G190)</f>
        <v>9.954284570979955E-3</v>
      </c>
    </row>
    <row r="191" spans="1:8">
      <c r="A191" s="1">
        <v>9400</v>
      </c>
      <c r="B191">
        <v>316.98</v>
      </c>
      <c r="C191">
        <v>0</v>
      </c>
      <c r="D191">
        <v>10</v>
      </c>
      <c r="E191">
        <v>0</v>
      </c>
      <c r="G191">
        <f t="shared" si="2"/>
        <v>3.4000000000003181E-3</v>
      </c>
      <c r="H191">
        <f>SQRT($K$3/B191*G191)</f>
        <v>1.025788985964099E-2</v>
      </c>
    </row>
    <row r="192" spans="1:8">
      <c r="A192" s="1">
        <v>9450</v>
      </c>
      <c r="B192">
        <v>317.14</v>
      </c>
      <c r="C192">
        <v>0</v>
      </c>
      <c r="D192">
        <v>10</v>
      </c>
      <c r="E192">
        <v>0</v>
      </c>
      <c r="G192">
        <f t="shared" si="2"/>
        <v>3.1999999999993635E-3</v>
      </c>
      <c r="H192">
        <f>SQRT($K$3/B192*G192)</f>
        <v>9.9491042580524686E-3</v>
      </c>
    </row>
    <row r="193" spans="1:8">
      <c r="A193" s="1">
        <v>9500</v>
      </c>
      <c r="B193">
        <v>317.3</v>
      </c>
      <c r="C193">
        <v>0</v>
      </c>
      <c r="D193">
        <v>10</v>
      </c>
      <c r="E193">
        <v>0</v>
      </c>
      <c r="G193">
        <f t="shared" si="2"/>
        <v>3.2000000000005002E-3</v>
      </c>
      <c r="H193">
        <f>SQRT($K$3/B193*G193)</f>
        <v>9.9465955007154664E-3</v>
      </c>
    </row>
    <row r="194" spans="1:8">
      <c r="A194" s="1">
        <v>9550</v>
      </c>
      <c r="B194">
        <v>317.45999999999998</v>
      </c>
      <c r="C194">
        <v>0</v>
      </c>
      <c r="D194">
        <v>10</v>
      </c>
      <c r="E194">
        <v>0</v>
      </c>
      <c r="G194">
        <f t="shared" si="2"/>
        <v>3.1999999999993635E-3</v>
      </c>
      <c r="H194">
        <f>SQRT($K$3/B194*G194)</f>
        <v>9.9440886402364318E-3</v>
      </c>
    </row>
    <row r="195" spans="1:8">
      <c r="A195" s="1">
        <v>9600</v>
      </c>
      <c r="B195">
        <v>317.62</v>
      </c>
      <c r="C195">
        <v>0</v>
      </c>
      <c r="D195">
        <v>10</v>
      </c>
      <c r="E195">
        <v>0</v>
      </c>
      <c r="G195">
        <f t="shared" si="2"/>
        <v>3.2000000000005002E-3</v>
      </c>
      <c r="H195">
        <f>SQRT($K$3/B195*G195)</f>
        <v>9.9415836742332824E-3</v>
      </c>
    </row>
    <row r="196" spans="1:8">
      <c r="A196" s="1">
        <v>9650</v>
      </c>
      <c r="B196">
        <v>317.77999999999997</v>
      </c>
      <c r="C196">
        <v>0</v>
      </c>
      <c r="D196">
        <v>10</v>
      </c>
      <c r="E196">
        <v>0</v>
      </c>
      <c r="G196">
        <f t="shared" si="2"/>
        <v>3.1999999999993635E-3</v>
      </c>
      <c r="H196">
        <f>SQRT($K$3/B196*G196)</f>
        <v>9.9390806003140219E-3</v>
      </c>
    </row>
    <row r="197" spans="1:8">
      <c r="A197" s="1">
        <v>9700</v>
      </c>
      <c r="B197">
        <v>317.95</v>
      </c>
      <c r="C197">
        <v>0</v>
      </c>
      <c r="D197">
        <v>10</v>
      </c>
      <c r="E197">
        <v>0</v>
      </c>
      <c r="G197">
        <f t="shared" ref="G197:G260" si="3">(B197-B196)/(A197-A196)</f>
        <v>3.4000000000003181E-3</v>
      </c>
      <c r="H197">
        <f>SQRT($K$3/B197*G197)</f>
        <v>1.0242230551999182E-2</v>
      </c>
    </row>
    <row r="198" spans="1:8">
      <c r="A198" s="1">
        <v>9750</v>
      </c>
      <c r="B198">
        <v>318.11</v>
      </c>
      <c r="C198">
        <v>0</v>
      </c>
      <c r="D198">
        <v>10</v>
      </c>
      <c r="E198">
        <v>0</v>
      </c>
      <c r="G198">
        <f t="shared" si="3"/>
        <v>3.2000000000005002E-3</v>
      </c>
      <c r="H198">
        <f>SQRT($K$3/B198*G198)</f>
        <v>9.9339239757803618E-3</v>
      </c>
    </row>
    <row r="199" spans="1:8">
      <c r="A199" s="1">
        <v>9800</v>
      </c>
      <c r="B199">
        <v>318.27</v>
      </c>
      <c r="C199">
        <v>0</v>
      </c>
      <c r="D199">
        <v>10</v>
      </c>
      <c r="E199">
        <v>0</v>
      </c>
      <c r="G199">
        <f t="shared" si="3"/>
        <v>3.1999999999993635E-3</v>
      </c>
      <c r="H199">
        <f>SQRT($K$3/B199*G199)</f>
        <v>9.9314266815869138E-3</v>
      </c>
    </row>
    <row r="200" spans="1:8">
      <c r="A200" s="1">
        <v>9850</v>
      </c>
      <c r="B200">
        <v>318.43</v>
      </c>
      <c r="C200">
        <v>0</v>
      </c>
      <c r="D200">
        <v>10</v>
      </c>
      <c r="E200">
        <v>0</v>
      </c>
      <c r="G200">
        <f t="shared" si="3"/>
        <v>3.2000000000005002E-3</v>
      </c>
      <c r="H200">
        <f>SQRT($K$3/B200*G200)</f>
        <v>9.9289312698387193E-3</v>
      </c>
    </row>
    <row r="201" spans="1:8">
      <c r="A201" s="1">
        <v>9900</v>
      </c>
      <c r="B201">
        <v>318.60000000000002</v>
      </c>
      <c r="C201">
        <v>0</v>
      </c>
      <c r="D201">
        <v>10</v>
      </c>
      <c r="E201">
        <v>0</v>
      </c>
      <c r="G201">
        <f t="shared" si="3"/>
        <v>3.4000000000003181E-3</v>
      </c>
      <c r="H201">
        <f>SQRT($K$3/B201*G201)</f>
        <v>1.0231777242333463E-2</v>
      </c>
    </row>
    <row r="202" spans="1:8">
      <c r="A202" s="1">
        <v>9950</v>
      </c>
      <c r="B202">
        <v>318.76</v>
      </c>
      <c r="C202">
        <v>0</v>
      </c>
      <c r="D202">
        <v>10</v>
      </c>
      <c r="E202">
        <v>0</v>
      </c>
      <c r="G202">
        <f t="shared" si="3"/>
        <v>3.1999999999993635E-3</v>
      </c>
      <c r="H202">
        <f>SQRT($K$3/B202*G202)</f>
        <v>9.9237904181315537E-3</v>
      </c>
    </row>
    <row r="203" spans="1:8">
      <c r="A203" s="1">
        <v>10000</v>
      </c>
      <c r="B203">
        <v>318.92</v>
      </c>
      <c r="C203">
        <v>0</v>
      </c>
      <c r="D203">
        <v>10</v>
      </c>
      <c r="E203">
        <v>0</v>
      </c>
      <c r="G203">
        <f t="shared" si="3"/>
        <v>3.2000000000005002E-3</v>
      </c>
      <c r="H203">
        <f>SQRT($K$3/B203*G203)</f>
        <v>9.9213007566746336E-3</v>
      </c>
    </row>
    <row r="204" spans="1:8">
      <c r="A204" s="1">
        <v>10050</v>
      </c>
      <c r="B204">
        <v>319.08</v>
      </c>
      <c r="C204">
        <v>0</v>
      </c>
      <c r="D204">
        <v>10</v>
      </c>
      <c r="E204">
        <v>0</v>
      </c>
      <c r="G204">
        <f t="shared" si="3"/>
        <v>3.1999999999993635E-3</v>
      </c>
      <c r="H204">
        <f>SQRT($K$3/B204*G204)</f>
        <v>9.9188129680789286E-3</v>
      </c>
    </row>
    <row r="205" spans="1:8">
      <c r="A205" s="1">
        <v>10100</v>
      </c>
      <c r="B205">
        <v>319.25</v>
      </c>
      <c r="C205">
        <v>0</v>
      </c>
      <c r="D205">
        <v>10</v>
      </c>
      <c r="E205">
        <v>0</v>
      </c>
      <c r="G205">
        <f t="shared" si="3"/>
        <v>3.4000000000003181E-3</v>
      </c>
      <c r="H205">
        <f>SQRT($K$3/B205*G205)</f>
        <v>1.0221355873691244E-2</v>
      </c>
    </row>
    <row r="206" spans="1:8">
      <c r="A206" s="1">
        <v>10150</v>
      </c>
      <c r="B206">
        <v>319.41000000000003</v>
      </c>
      <c r="C206">
        <v>0</v>
      </c>
      <c r="D206">
        <v>10</v>
      </c>
      <c r="E206">
        <v>0</v>
      </c>
      <c r="G206">
        <f t="shared" si="3"/>
        <v>3.2000000000005002E-3</v>
      </c>
      <c r="H206">
        <f>SQRT($K$3/B206*G206)</f>
        <v>9.9136878089603475E-3</v>
      </c>
    </row>
    <row r="207" spans="1:8">
      <c r="A207" s="1">
        <v>10200</v>
      </c>
      <c r="B207">
        <v>319.57</v>
      </c>
      <c r="C207">
        <v>0</v>
      </c>
      <c r="D207">
        <v>10</v>
      </c>
      <c r="E207">
        <v>0</v>
      </c>
      <c r="G207">
        <f t="shared" si="3"/>
        <v>3.1999999999993635E-3</v>
      </c>
      <c r="H207">
        <f>SQRT($K$3/B207*G207)</f>
        <v>9.9112057414308223E-3</v>
      </c>
    </row>
    <row r="208" spans="1:8">
      <c r="A208" s="1">
        <v>10250</v>
      </c>
      <c r="B208">
        <v>319.74</v>
      </c>
      <c r="C208">
        <v>0</v>
      </c>
      <c r="D208">
        <v>10</v>
      </c>
      <c r="E208">
        <v>0</v>
      </c>
      <c r="G208">
        <f t="shared" si="3"/>
        <v>3.4000000000003181E-3</v>
      </c>
      <c r="H208">
        <f>SQRT($K$3/B208*G208)</f>
        <v>1.0213520781566883E-2</v>
      </c>
    </row>
    <row r="209" spans="1:8">
      <c r="A209" s="1">
        <v>10300</v>
      </c>
      <c r="B209">
        <v>319.89999999999998</v>
      </c>
      <c r="C209">
        <v>0</v>
      </c>
      <c r="D209">
        <v>10</v>
      </c>
      <c r="E209">
        <v>0</v>
      </c>
      <c r="G209">
        <f t="shared" si="3"/>
        <v>3.1999999999993635E-3</v>
      </c>
      <c r="H209">
        <f>SQRT($K$3/B209*G209)</f>
        <v>9.9060923594045565E-3</v>
      </c>
    </row>
    <row r="210" spans="1:8">
      <c r="A210" s="1">
        <v>10350</v>
      </c>
      <c r="B210">
        <v>320.06</v>
      </c>
      <c r="C210">
        <v>0</v>
      </c>
      <c r="D210">
        <v>10</v>
      </c>
      <c r="E210">
        <v>0</v>
      </c>
      <c r="G210">
        <f t="shared" si="3"/>
        <v>3.2000000000005002E-3</v>
      </c>
      <c r="H210">
        <f>SQRT($K$3/B210*G210)</f>
        <v>9.9036159910507911E-3</v>
      </c>
    </row>
    <row r="211" spans="1:8">
      <c r="A211" s="1">
        <v>10400</v>
      </c>
      <c r="B211">
        <v>320.22000000000003</v>
      </c>
      <c r="C211">
        <v>0</v>
      </c>
      <c r="D211">
        <v>10</v>
      </c>
      <c r="E211">
        <v>0</v>
      </c>
      <c r="G211">
        <f t="shared" si="3"/>
        <v>3.2000000000005002E-3</v>
      </c>
      <c r="H211">
        <f>SQRT($K$3/B211*G211)</f>
        <v>9.9011414789274502E-3</v>
      </c>
    </row>
    <row r="212" spans="1:8">
      <c r="A212" s="1">
        <v>10450</v>
      </c>
      <c r="B212">
        <v>320.39</v>
      </c>
      <c r="C212">
        <v>0</v>
      </c>
      <c r="D212">
        <v>10</v>
      </c>
      <c r="E212">
        <v>0</v>
      </c>
      <c r="G212">
        <f t="shared" si="3"/>
        <v>3.3999999999991815E-3</v>
      </c>
      <c r="H212">
        <f>SQRT($K$3/B212*G212)</f>
        <v>1.0203155041242402E-2</v>
      </c>
    </row>
    <row r="213" spans="1:8">
      <c r="A213" s="1">
        <v>10500</v>
      </c>
      <c r="B213">
        <v>320.55</v>
      </c>
      <c r="C213">
        <v>0</v>
      </c>
      <c r="D213">
        <v>10</v>
      </c>
      <c r="E213">
        <v>0</v>
      </c>
      <c r="G213">
        <f t="shared" si="3"/>
        <v>3.2000000000005002E-3</v>
      </c>
      <c r="H213">
        <f>SQRT($K$3/B213*G213)</f>
        <v>9.8960436501232141E-3</v>
      </c>
    </row>
    <row r="214" spans="1:8">
      <c r="A214" s="1">
        <v>10550</v>
      </c>
      <c r="B214">
        <v>320.72000000000003</v>
      </c>
      <c r="C214">
        <v>0</v>
      </c>
      <c r="D214">
        <v>10</v>
      </c>
      <c r="E214">
        <v>0</v>
      </c>
      <c r="G214">
        <f t="shared" si="3"/>
        <v>3.4000000000003181E-3</v>
      </c>
      <c r="H214">
        <f>SQRT($K$3/B214*G214)</f>
        <v>1.0197904499141925E-2</v>
      </c>
    </row>
    <row r="215" spans="1:8">
      <c r="A215" s="1">
        <v>10600</v>
      </c>
      <c r="B215">
        <v>320.88</v>
      </c>
      <c r="C215">
        <v>0</v>
      </c>
      <c r="D215">
        <v>10</v>
      </c>
      <c r="E215">
        <v>0</v>
      </c>
      <c r="G215">
        <f t="shared" si="3"/>
        <v>3.1999999999993635E-3</v>
      </c>
      <c r="H215">
        <f>SQRT($K$3/B215*G215)</f>
        <v>9.8909536874182257E-3</v>
      </c>
    </row>
    <row r="216" spans="1:8">
      <c r="A216" s="1">
        <v>10650</v>
      </c>
      <c r="B216">
        <v>321.04000000000002</v>
      </c>
      <c r="C216">
        <v>0</v>
      </c>
      <c r="D216">
        <v>10</v>
      </c>
      <c r="E216">
        <v>0</v>
      </c>
      <c r="G216">
        <f t="shared" si="3"/>
        <v>3.2000000000005002E-3</v>
      </c>
      <c r="H216">
        <f>SQRT($K$3/B216*G216)</f>
        <v>9.8884886521948042E-3</v>
      </c>
    </row>
    <row r="217" spans="1:8">
      <c r="A217" s="1">
        <v>10700</v>
      </c>
      <c r="B217">
        <v>321.20999999999998</v>
      </c>
      <c r="C217">
        <v>0</v>
      </c>
      <c r="D217">
        <v>10</v>
      </c>
      <c r="E217">
        <v>0</v>
      </c>
      <c r="G217">
        <f t="shared" si="3"/>
        <v>3.3999999999991815E-3</v>
      </c>
      <c r="H217">
        <f>SQRT($K$3/B217*G217)</f>
        <v>1.0190123171726061E-2</v>
      </c>
    </row>
    <row r="218" spans="1:8">
      <c r="A218" s="1">
        <v>10750</v>
      </c>
      <c r="B218">
        <v>321.37</v>
      </c>
      <c r="C218">
        <v>0</v>
      </c>
      <c r="D218">
        <v>10</v>
      </c>
      <c r="E218">
        <v>0</v>
      </c>
      <c r="G218">
        <f t="shared" si="3"/>
        <v>3.2000000000005002E-3</v>
      </c>
      <c r="H218">
        <f>SQRT($K$3/B218*G218)</f>
        <v>9.8834103322003441E-3</v>
      </c>
    </row>
    <row r="219" spans="1:8">
      <c r="A219" s="1">
        <v>10800</v>
      </c>
      <c r="B219">
        <v>321.52999999999997</v>
      </c>
      <c r="C219">
        <v>0</v>
      </c>
      <c r="D219">
        <v>10</v>
      </c>
      <c r="E219">
        <v>0</v>
      </c>
      <c r="G219">
        <f t="shared" si="3"/>
        <v>3.1999999999993635E-3</v>
      </c>
      <c r="H219">
        <f>SQRT($K$3/B219*G219)</f>
        <v>9.8809509311633542E-3</v>
      </c>
    </row>
    <row r="220" spans="1:8">
      <c r="A220" s="1">
        <v>10850</v>
      </c>
      <c r="B220">
        <v>321.7</v>
      </c>
      <c r="C220">
        <v>0</v>
      </c>
      <c r="D220">
        <v>10</v>
      </c>
      <c r="E220">
        <v>0</v>
      </c>
      <c r="G220">
        <f t="shared" si="3"/>
        <v>3.4000000000003181E-3</v>
      </c>
      <c r="H220">
        <f>SQRT($K$3/B220*G220)</f>
        <v>1.0182359629379517E-2</v>
      </c>
    </row>
    <row r="221" spans="1:8">
      <c r="A221" s="1">
        <v>10900</v>
      </c>
      <c r="B221">
        <v>321.86</v>
      </c>
      <c r="C221">
        <v>0</v>
      </c>
      <c r="D221">
        <v>10</v>
      </c>
      <c r="E221">
        <v>0</v>
      </c>
      <c r="G221">
        <f t="shared" si="3"/>
        <v>3.2000000000005002E-3</v>
      </c>
      <c r="H221">
        <f>SQRT($K$3/B221*G221)</f>
        <v>9.8758842095613888E-3</v>
      </c>
    </row>
    <row r="222" spans="1:8">
      <c r="A222" s="1">
        <v>10950</v>
      </c>
      <c r="B222">
        <v>322.02999999999997</v>
      </c>
      <c r="C222">
        <v>0</v>
      </c>
      <c r="D222">
        <v>10</v>
      </c>
      <c r="E222">
        <v>0</v>
      </c>
      <c r="G222">
        <f t="shared" si="3"/>
        <v>3.3999999999991815E-3</v>
      </c>
      <c r="H222">
        <f>SQRT($K$3/B222*G222)</f>
        <v>1.0177141109435279E-2</v>
      </c>
    </row>
    <row r="223" spans="1:8">
      <c r="A223" s="1">
        <v>11000</v>
      </c>
      <c r="B223">
        <v>322.19</v>
      </c>
      <c r="C223">
        <v>0</v>
      </c>
      <c r="D223">
        <v>10</v>
      </c>
      <c r="E223">
        <v>0</v>
      </c>
      <c r="G223">
        <f t="shared" si="3"/>
        <v>3.2000000000005002E-3</v>
      </c>
      <c r="H223">
        <f>SQRT($K$3/B223*G223)</f>
        <v>9.8708252742633843E-3</v>
      </c>
    </row>
    <row r="224" spans="1:8">
      <c r="A224" s="1">
        <v>11050</v>
      </c>
      <c r="B224">
        <v>322.35000000000002</v>
      </c>
      <c r="C224">
        <v>0</v>
      </c>
      <c r="D224">
        <v>10</v>
      </c>
      <c r="E224">
        <v>0</v>
      </c>
      <c r="G224">
        <f t="shared" si="3"/>
        <v>3.2000000000005002E-3</v>
      </c>
      <c r="H224">
        <f>SQRT($K$3/B224*G224)</f>
        <v>9.8683752539906501E-3</v>
      </c>
    </row>
    <row r="225" spans="1:8">
      <c r="A225" s="1">
        <v>11100</v>
      </c>
      <c r="B225">
        <v>322.52</v>
      </c>
      <c r="C225">
        <v>0</v>
      </c>
      <c r="D225">
        <v>10</v>
      </c>
      <c r="E225">
        <v>0</v>
      </c>
      <c r="G225">
        <f t="shared" si="3"/>
        <v>3.3999999999991815E-3</v>
      </c>
      <c r="H225">
        <f>SQRT($K$3/B225*G225)</f>
        <v>1.0169407178707124E-2</v>
      </c>
    </row>
    <row r="226" spans="1:8">
      <c r="A226" s="1">
        <v>11150</v>
      </c>
      <c r="B226">
        <v>322.68</v>
      </c>
      <c r="C226">
        <v>0</v>
      </c>
      <c r="D226">
        <v>10</v>
      </c>
      <c r="E226">
        <v>0</v>
      </c>
      <c r="G226">
        <f t="shared" si="3"/>
        <v>3.2000000000005002E-3</v>
      </c>
      <c r="H226">
        <f>SQRT($K$3/B226*G226)</f>
        <v>9.8633278434452267E-3</v>
      </c>
    </row>
    <row r="227" spans="1:8">
      <c r="A227" s="1">
        <v>11200</v>
      </c>
      <c r="B227">
        <v>322.85000000000002</v>
      </c>
      <c r="C227">
        <v>0</v>
      </c>
      <c r="D227">
        <v>10</v>
      </c>
      <c r="E227">
        <v>0</v>
      </c>
      <c r="G227">
        <f t="shared" si="3"/>
        <v>3.4000000000003181E-3</v>
      </c>
      <c r="H227">
        <f>SQRT($K$3/B227*G227)</f>
        <v>1.0164208537909673E-2</v>
      </c>
    </row>
    <row r="228" spans="1:8">
      <c r="A228" s="1">
        <v>11250</v>
      </c>
      <c r="B228">
        <v>323.01</v>
      </c>
      <c r="C228">
        <v>0</v>
      </c>
      <c r="D228">
        <v>10</v>
      </c>
      <c r="E228">
        <v>0</v>
      </c>
      <c r="G228">
        <f t="shared" si="3"/>
        <v>3.1999999999993635E-3</v>
      </c>
      <c r="H228">
        <f>SQRT($K$3/B228*G228)</f>
        <v>9.8582881698312391E-3</v>
      </c>
    </row>
    <row r="229" spans="1:8">
      <c r="A229" s="1">
        <v>11300</v>
      </c>
      <c r="B229">
        <v>323.18</v>
      </c>
      <c r="C229">
        <v>0</v>
      </c>
      <c r="D229">
        <v>10</v>
      </c>
      <c r="E229">
        <v>0</v>
      </c>
      <c r="G229">
        <f t="shared" si="3"/>
        <v>3.4000000000003181E-3</v>
      </c>
      <c r="H229">
        <f>SQRT($K$3/B229*G229)</f>
        <v>1.0159017861664491E-2</v>
      </c>
    </row>
    <row r="230" spans="1:8">
      <c r="A230" s="1">
        <v>11350</v>
      </c>
      <c r="B230">
        <v>323.33999999999997</v>
      </c>
      <c r="C230">
        <v>0</v>
      </c>
      <c r="D230">
        <v>10</v>
      </c>
      <c r="E230">
        <v>0</v>
      </c>
      <c r="G230">
        <f t="shared" si="3"/>
        <v>3.1999999999993635E-3</v>
      </c>
      <c r="H230">
        <f>SQRT($K$3/B230*G230)</f>
        <v>9.8532562134064135E-3</v>
      </c>
    </row>
    <row r="231" spans="1:8">
      <c r="A231" s="1">
        <v>11400</v>
      </c>
      <c r="B231">
        <v>323.51</v>
      </c>
      <c r="C231">
        <v>0</v>
      </c>
      <c r="D231">
        <v>10</v>
      </c>
      <c r="E231">
        <v>0</v>
      </c>
      <c r="G231">
        <f t="shared" si="3"/>
        <v>3.4000000000003181E-3</v>
      </c>
      <c r="H231">
        <f>SQRT($K$3/B231*G231)</f>
        <v>1.0153835129657261E-2</v>
      </c>
    </row>
    <row r="232" spans="1:8">
      <c r="A232" s="1">
        <v>11450</v>
      </c>
      <c r="B232">
        <v>323.67</v>
      </c>
      <c r="C232">
        <v>0</v>
      </c>
      <c r="D232">
        <v>10</v>
      </c>
      <c r="E232">
        <v>0</v>
      </c>
      <c r="G232">
        <f t="shared" si="3"/>
        <v>3.2000000000005002E-3</v>
      </c>
      <c r="H232">
        <f>SQRT($K$3/B232*G232)</f>
        <v>9.8482319544954487E-3</v>
      </c>
    </row>
    <row r="233" spans="1:8">
      <c r="A233" s="1">
        <v>11500</v>
      </c>
      <c r="B233">
        <v>323.83999999999997</v>
      </c>
      <c r="C233">
        <v>0</v>
      </c>
      <c r="D233">
        <v>10</v>
      </c>
      <c r="E233">
        <v>0</v>
      </c>
      <c r="G233">
        <f t="shared" si="3"/>
        <v>3.3999999999991815E-3</v>
      </c>
      <c r="H233">
        <f>SQRT($K$3/B233*G233)</f>
        <v>1.0148660321642749E-2</v>
      </c>
    </row>
    <row r="234" spans="1:8">
      <c r="A234" s="1">
        <v>11550</v>
      </c>
      <c r="B234">
        <v>324</v>
      </c>
      <c r="C234">
        <v>0</v>
      </c>
      <c r="D234">
        <v>10</v>
      </c>
      <c r="E234">
        <v>0</v>
      </c>
      <c r="G234">
        <f t="shared" si="3"/>
        <v>3.2000000000005002E-3</v>
      </c>
      <c r="H234">
        <f>SQRT($K$3/B234*G234)</f>
        <v>9.8432153734897034E-3</v>
      </c>
    </row>
    <row r="235" spans="1:8">
      <c r="A235" s="1">
        <v>11600</v>
      </c>
      <c r="B235">
        <v>324.17</v>
      </c>
      <c r="C235">
        <v>0</v>
      </c>
      <c r="D235">
        <v>10</v>
      </c>
      <c r="E235">
        <v>0</v>
      </c>
      <c r="G235">
        <f t="shared" si="3"/>
        <v>3.4000000000003181E-3</v>
      </c>
      <c r="H235">
        <f>SQRT($K$3/B235*G235)</f>
        <v>1.0143493417454647E-2</v>
      </c>
    </row>
    <row r="236" spans="1:8">
      <c r="A236" s="1">
        <v>11650</v>
      </c>
      <c r="B236">
        <v>324.33</v>
      </c>
      <c r="C236">
        <v>0</v>
      </c>
      <c r="D236">
        <v>10</v>
      </c>
      <c r="E236">
        <v>0</v>
      </c>
      <c r="G236">
        <f t="shared" si="3"/>
        <v>3.1999999999993635E-3</v>
      </c>
      <c r="H236">
        <f>SQRT($K$3/B236*G236)</f>
        <v>9.8382064508538737E-3</v>
      </c>
    </row>
    <row r="237" spans="1:8">
      <c r="A237" s="1">
        <v>11700</v>
      </c>
      <c r="B237">
        <v>324.5</v>
      </c>
      <c r="C237">
        <v>0</v>
      </c>
      <c r="D237">
        <v>10</v>
      </c>
      <c r="E237">
        <v>0</v>
      </c>
      <c r="G237">
        <f t="shared" si="3"/>
        <v>3.4000000000003181E-3</v>
      </c>
      <c r="H237">
        <f>SQRT($K$3/B237*G237)</f>
        <v>1.0138334396988295E-2</v>
      </c>
    </row>
    <row r="238" spans="1:8">
      <c r="A238" s="1">
        <v>11750</v>
      </c>
      <c r="B238">
        <v>324.66000000000003</v>
      </c>
      <c r="C238">
        <v>0</v>
      </c>
      <c r="D238">
        <v>10</v>
      </c>
      <c r="E238">
        <v>0</v>
      </c>
      <c r="G238">
        <f t="shared" si="3"/>
        <v>3.2000000000005002E-3</v>
      </c>
      <c r="H238">
        <f>SQRT($K$3/B238*G238)</f>
        <v>9.833205167127412E-3</v>
      </c>
    </row>
    <row r="239" spans="1:8">
      <c r="A239" s="1">
        <v>11800</v>
      </c>
      <c r="B239">
        <v>324.83</v>
      </c>
      <c r="C239">
        <v>0</v>
      </c>
      <c r="D239">
        <v>10</v>
      </c>
      <c r="E239">
        <v>0</v>
      </c>
      <c r="G239">
        <f t="shared" si="3"/>
        <v>3.3999999999991815E-3</v>
      </c>
      <c r="H239">
        <f>SQRT($K$3/B239*G239)</f>
        <v>1.0133183240215598E-2</v>
      </c>
    </row>
    <row r="240" spans="1:8">
      <c r="A240" s="1">
        <v>11850</v>
      </c>
      <c r="B240">
        <v>325</v>
      </c>
      <c r="C240">
        <v>0</v>
      </c>
      <c r="D240">
        <v>10</v>
      </c>
      <c r="E240">
        <v>0</v>
      </c>
      <c r="G240">
        <f t="shared" si="3"/>
        <v>3.4000000000003181E-3</v>
      </c>
      <c r="H240">
        <f>SQRT($K$3/B240*G240)</f>
        <v>1.0130532676404628E-2</v>
      </c>
    </row>
    <row r="241" spans="1:8">
      <c r="A241" s="1">
        <v>11900</v>
      </c>
      <c r="B241">
        <v>325.16000000000003</v>
      </c>
      <c r="C241">
        <v>0</v>
      </c>
      <c r="D241">
        <v>10</v>
      </c>
      <c r="E241">
        <v>0</v>
      </c>
      <c r="G241">
        <f t="shared" si="3"/>
        <v>3.2000000000005002E-3</v>
      </c>
      <c r="H241">
        <f>SQRT($K$3/B241*G241)</f>
        <v>9.8256419765310223E-3</v>
      </c>
    </row>
    <row r="242" spans="1:8">
      <c r="A242" s="1">
        <v>11950</v>
      </c>
      <c r="B242">
        <v>325.33</v>
      </c>
      <c r="C242">
        <v>0</v>
      </c>
      <c r="D242">
        <v>10</v>
      </c>
      <c r="E242">
        <v>0</v>
      </c>
      <c r="G242">
        <f t="shared" si="3"/>
        <v>3.3999999999991815E-3</v>
      </c>
      <c r="H242">
        <f>SQRT($K$3/B242*G242)</f>
        <v>1.0125393396318752E-2</v>
      </c>
    </row>
    <row r="243" spans="1:8">
      <c r="A243" s="1">
        <v>12000</v>
      </c>
      <c r="B243">
        <v>325.49</v>
      </c>
      <c r="C243">
        <v>0</v>
      </c>
      <c r="D243">
        <v>10</v>
      </c>
      <c r="E243">
        <v>0</v>
      </c>
      <c r="G243">
        <f t="shared" si="3"/>
        <v>3.2000000000005002E-3</v>
      </c>
      <c r="H243">
        <f>SQRT($K$3/B243*G243)</f>
        <v>9.8206598202182117E-3</v>
      </c>
    </row>
    <row r="244" spans="1:8">
      <c r="A244" s="1">
        <v>12050</v>
      </c>
      <c r="B244">
        <v>325.66000000000003</v>
      </c>
      <c r="C244">
        <v>0</v>
      </c>
      <c r="D244">
        <v>10</v>
      </c>
      <c r="E244">
        <v>0</v>
      </c>
      <c r="G244">
        <f t="shared" si="3"/>
        <v>3.4000000000003181E-3</v>
      </c>
      <c r="H244">
        <f>SQRT($K$3/B244*G244)</f>
        <v>1.0120261929871767E-2</v>
      </c>
    </row>
    <row r="245" spans="1:8">
      <c r="A245" s="1">
        <v>12100</v>
      </c>
      <c r="B245">
        <v>325.83</v>
      </c>
      <c r="C245">
        <v>0</v>
      </c>
      <c r="D245">
        <v>10</v>
      </c>
      <c r="E245">
        <v>0</v>
      </c>
      <c r="G245">
        <f t="shared" si="3"/>
        <v>3.3999999999991815E-3</v>
      </c>
      <c r="H245">
        <f>SQRT($K$3/B245*G245)</f>
        <v>1.0117621490078247E-2</v>
      </c>
    </row>
    <row r="246" spans="1:8">
      <c r="A246" s="1">
        <v>12150</v>
      </c>
      <c r="B246">
        <v>325.99</v>
      </c>
      <c r="C246">
        <v>0</v>
      </c>
      <c r="D246">
        <v>10</v>
      </c>
      <c r="E246">
        <v>0</v>
      </c>
      <c r="G246">
        <f t="shared" si="3"/>
        <v>3.2000000000005002E-3</v>
      </c>
      <c r="H246">
        <f>SQRT($K$3/B246*G246)</f>
        <v>9.8131255182328566E-3</v>
      </c>
    </row>
    <row r="247" spans="1:8">
      <c r="A247" s="1">
        <v>12200</v>
      </c>
      <c r="B247">
        <v>326.16000000000003</v>
      </c>
      <c r="C247">
        <v>0</v>
      </c>
      <c r="D247">
        <v>10</v>
      </c>
      <c r="E247">
        <v>0</v>
      </c>
      <c r="G247">
        <f t="shared" si="3"/>
        <v>3.4000000000003181E-3</v>
      </c>
      <c r="H247">
        <f>SQRT($K$3/B247*G247)</f>
        <v>1.0112501824807867E-2</v>
      </c>
    </row>
    <row r="248" spans="1:8">
      <c r="A248" s="1">
        <v>12250</v>
      </c>
      <c r="B248">
        <v>326.32</v>
      </c>
      <c r="C248">
        <v>0</v>
      </c>
      <c r="D248">
        <v>10</v>
      </c>
      <c r="E248">
        <v>0</v>
      </c>
      <c r="G248">
        <f t="shared" si="3"/>
        <v>3.1999999999993635E-3</v>
      </c>
      <c r="H248">
        <f>SQRT($K$3/B248*G248)</f>
        <v>9.8081623677224207E-3</v>
      </c>
    </row>
    <row r="249" spans="1:8">
      <c r="A249" s="1">
        <v>12300</v>
      </c>
      <c r="B249">
        <v>326.49</v>
      </c>
      <c r="C249">
        <v>0</v>
      </c>
      <c r="D249">
        <v>10</v>
      </c>
      <c r="E249">
        <v>0</v>
      </c>
      <c r="G249">
        <f t="shared" si="3"/>
        <v>3.4000000000003181E-3</v>
      </c>
      <c r="H249">
        <f>SQRT($K$3/B249*G249)</f>
        <v>1.0107389923556476E-2</v>
      </c>
    </row>
    <row r="250" spans="1:8">
      <c r="A250" s="1">
        <v>12350</v>
      </c>
      <c r="B250">
        <v>326.66000000000003</v>
      </c>
      <c r="C250">
        <v>0</v>
      </c>
      <c r="D250">
        <v>10</v>
      </c>
      <c r="E250">
        <v>0</v>
      </c>
      <c r="G250">
        <f t="shared" si="3"/>
        <v>3.4000000000003181E-3</v>
      </c>
      <c r="H250">
        <f>SQRT($K$3/B250*G250)</f>
        <v>1.0104759543500139E-2</v>
      </c>
    </row>
    <row r="251" spans="1:8">
      <c r="A251" s="1">
        <v>12400</v>
      </c>
      <c r="B251">
        <v>326.82</v>
      </c>
      <c r="C251">
        <v>0</v>
      </c>
      <c r="D251">
        <v>10</v>
      </c>
      <c r="E251">
        <v>0</v>
      </c>
      <c r="G251">
        <f t="shared" si="3"/>
        <v>3.1999999999993635E-3</v>
      </c>
      <c r="H251">
        <f>SQRT($K$3/B251*G251)</f>
        <v>9.8006567709087496E-3</v>
      </c>
    </row>
    <row r="252" spans="1:8">
      <c r="A252" s="1">
        <v>12450</v>
      </c>
      <c r="B252">
        <v>326.99</v>
      </c>
      <c r="C252">
        <v>0</v>
      </c>
      <c r="D252">
        <v>10</v>
      </c>
      <c r="E252">
        <v>0</v>
      </c>
      <c r="G252">
        <f t="shared" si="3"/>
        <v>3.4000000000003181E-3</v>
      </c>
      <c r="H252">
        <f>SQRT($K$3/B252*G252)</f>
        <v>1.0099659368585551E-2</v>
      </c>
    </row>
    <row r="253" spans="1:8">
      <c r="A253" s="1">
        <v>12500</v>
      </c>
      <c r="B253">
        <v>327.16000000000003</v>
      </c>
      <c r="C253">
        <v>0</v>
      </c>
      <c r="D253">
        <v>10</v>
      </c>
      <c r="E253">
        <v>0</v>
      </c>
      <c r="G253">
        <f t="shared" si="3"/>
        <v>3.4000000000003181E-3</v>
      </c>
      <c r="H253">
        <f>SQRT($K$3/B253*G253)</f>
        <v>1.0097035017822225E-2</v>
      </c>
    </row>
    <row r="254" spans="1:8">
      <c r="A254" s="1">
        <v>12550</v>
      </c>
      <c r="B254">
        <v>327.32</v>
      </c>
      <c r="C254">
        <v>0</v>
      </c>
      <c r="D254">
        <v>10</v>
      </c>
      <c r="E254">
        <v>0</v>
      </c>
      <c r="G254">
        <f t="shared" si="3"/>
        <v>3.1999999999993635E-3</v>
      </c>
      <c r="H254">
        <f>SQRT($K$3/B254*G254)</f>
        <v>9.7931683785113487E-3</v>
      </c>
    </row>
    <row r="255" spans="1:8">
      <c r="A255" s="1">
        <v>12600</v>
      </c>
      <c r="B255">
        <v>327.49</v>
      </c>
      <c r="C255">
        <v>0</v>
      </c>
      <c r="D255">
        <v>10</v>
      </c>
      <c r="E255">
        <v>0</v>
      </c>
      <c r="G255">
        <f t="shared" si="3"/>
        <v>3.4000000000003181E-3</v>
      </c>
      <c r="H255">
        <f>SQRT($K$3/B255*G255)</f>
        <v>1.0091946524480599E-2</v>
      </c>
    </row>
    <row r="256" spans="1:8">
      <c r="A256" s="1">
        <v>12650</v>
      </c>
      <c r="B256">
        <v>327.66000000000003</v>
      </c>
      <c r="C256">
        <v>0</v>
      </c>
      <c r="D256">
        <v>10</v>
      </c>
      <c r="E256">
        <v>0</v>
      </c>
      <c r="G256">
        <f t="shared" si="3"/>
        <v>3.4000000000003181E-3</v>
      </c>
      <c r="H256">
        <f>SQRT($K$3/B256*G256)</f>
        <v>1.0089328180011764E-2</v>
      </c>
    </row>
    <row r="257" spans="1:8">
      <c r="A257" s="1">
        <v>12700</v>
      </c>
      <c r="B257">
        <v>327.82</v>
      </c>
      <c r="C257">
        <v>0</v>
      </c>
      <c r="D257">
        <v>10</v>
      </c>
      <c r="E257">
        <v>0</v>
      </c>
      <c r="G257">
        <f t="shared" si="3"/>
        <v>3.1999999999993635E-3</v>
      </c>
      <c r="H257">
        <f>SQRT($K$3/B257*G257)</f>
        <v>9.7856971249035592E-3</v>
      </c>
    </row>
    <row r="258" spans="1:8">
      <c r="A258" s="1">
        <v>12750</v>
      </c>
      <c r="B258">
        <v>327.99</v>
      </c>
      <c r="C258">
        <v>0</v>
      </c>
      <c r="D258">
        <v>10</v>
      </c>
      <c r="E258">
        <v>0</v>
      </c>
      <c r="G258">
        <f t="shared" si="3"/>
        <v>3.4000000000003181E-3</v>
      </c>
      <c r="H258">
        <f>SQRT($K$3/B258*G258)</f>
        <v>1.0084251323718124E-2</v>
      </c>
    </row>
    <row r="259" spans="1:8">
      <c r="A259" s="1">
        <v>12800</v>
      </c>
      <c r="B259">
        <v>328.16</v>
      </c>
      <c r="C259">
        <v>0</v>
      </c>
      <c r="D259">
        <v>10</v>
      </c>
      <c r="E259">
        <v>0</v>
      </c>
      <c r="G259">
        <f t="shared" si="3"/>
        <v>3.4000000000003181E-3</v>
      </c>
      <c r="H259">
        <f>SQRT($K$3/B259*G259)</f>
        <v>1.0081638962667894E-2</v>
      </c>
    </row>
    <row r="260" spans="1:8">
      <c r="A260" s="1">
        <v>12850</v>
      </c>
      <c r="B260">
        <v>328.33</v>
      </c>
      <c r="C260">
        <v>0</v>
      </c>
      <c r="D260">
        <v>10</v>
      </c>
      <c r="E260">
        <v>0</v>
      </c>
      <c r="G260">
        <f t="shared" si="3"/>
        <v>3.3999999999991815E-3</v>
      </c>
      <c r="H260">
        <f>SQRT($K$3/B260*G260)</f>
        <v>1.0079028630788843E-2</v>
      </c>
    </row>
    <row r="261" spans="1:8">
      <c r="A261" s="1">
        <v>12900</v>
      </c>
      <c r="B261">
        <v>328.49</v>
      </c>
      <c r="C261">
        <v>0</v>
      </c>
      <c r="D261">
        <v>10</v>
      </c>
      <c r="E261">
        <v>0</v>
      </c>
      <c r="G261">
        <f t="shared" ref="G261:G324" si="4">(B261-B260)/(A261-A260)</f>
        <v>3.2000000000005002E-3</v>
      </c>
      <c r="H261">
        <f>SQRT($K$3/B261*G261)</f>
        <v>9.7757124013773435E-3</v>
      </c>
    </row>
    <row r="262" spans="1:8">
      <c r="A262" s="1">
        <v>12950</v>
      </c>
      <c r="B262">
        <v>328.66</v>
      </c>
      <c r="C262">
        <v>0</v>
      </c>
      <c r="D262">
        <v>10</v>
      </c>
      <c r="E262">
        <v>0</v>
      </c>
      <c r="G262">
        <f t="shared" si="4"/>
        <v>3.4000000000003181E-3</v>
      </c>
      <c r="H262">
        <f>SQRT($K$3/B262*G262)</f>
        <v>1.0073967298748777E-2</v>
      </c>
    </row>
    <row r="263" spans="1:8">
      <c r="A263" s="1">
        <v>13000</v>
      </c>
      <c r="B263">
        <v>328.83</v>
      </c>
      <c r="C263">
        <v>0</v>
      </c>
      <c r="D263">
        <v>10</v>
      </c>
      <c r="E263">
        <v>0</v>
      </c>
      <c r="G263">
        <f t="shared" si="4"/>
        <v>3.3999999999991815E-3</v>
      </c>
      <c r="H263">
        <f>SQRT($K$3/B263*G263)</f>
        <v>1.007136291982544E-2</v>
      </c>
    </row>
    <row r="264" spans="1:8">
      <c r="A264" s="1">
        <v>13050</v>
      </c>
      <c r="B264">
        <v>329</v>
      </c>
      <c r="C264">
        <v>0</v>
      </c>
      <c r="D264">
        <v>10</v>
      </c>
      <c r="E264">
        <v>0</v>
      </c>
      <c r="G264">
        <f t="shared" si="4"/>
        <v>3.4000000000003181E-3</v>
      </c>
      <c r="H264">
        <f>SQRT($K$3/B264*G264)</f>
        <v>1.0068760559757885E-2</v>
      </c>
    </row>
    <row r="265" spans="1:8">
      <c r="A265" s="1">
        <v>13100</v>
      </c>
      <c r="B265">
        <v>329.16</v>
      </c>
      <c r="C265">
        <v>0</v>
      </c>
      <c r="D265">
        <v>10</v>
      </c>
      <c r="E265">
        <v>0</v>
      </c>
      <c r="G265">
        <f t="shared" si="4"/>
        <v>3.2000000000005002E-3</v>
      </c>
      <c r="H265">
        <f>SQRT($K$3/B265*G265)</f>
        <v>9.7657581790051521E-3</v>
      </c>
    </row>
    <row r="266" spans="1:8">
      <c r="A266" s="1">
        <v>13150</v>
      </c>
      <c r="B266">
        <v>329.33</v>
      </c>
      <c r="C266">
        <v>0</v>
      </c>
      <c r="D266">
        <v>10</v>
      </c>
      <c r="E266">
        <v>0</v>
      </c>
      <c r="G266">
        <f t="shared" si="4"/>
        <v>3.3999999999991815E-3</v>
      </c>
      <c r="H266">
        <f>SQRT($K$3/B266*G266)</f>
        <v>1.0063714673009316E-2</v>
      </c>
    </row>
    <row r="267" spans="1:8">
      <c r="A267" s="1">
        <v>13200</v>
      </c>
      <c r="B267">
        <v>329.5</v>
      </c>
      <c r="C267">
        <v>0</v>
      </c>
      <c r="D267">
        <v>10</v>
      </c>
      <c r="E267">
        <v>0</v>
      </c>
      <c r="G267">
        <f t="shared" si="4"/>
        <v>3.4000000000003181E-3</v>
      </c>
      <c r="H267">
        <f>SQRT($K$3/B267*G267)</f>
        <v>1.0061118235651272E-2</v>
      </c>
    </row>
    <row r="268" spans="1:8">
      <c r="A268" s="1">
        <v>13250</v>
      </c>
      <c r="B268">
        <v>329.67</v>
      </c>
      <c r="C268">
        <v>0</v>
      </c>
      <c r="D268">
        <v>10</v>
      </c>
      <c r="E268">
        <v>0</v>
      </c>
      <c r="G268">
        <f t="shared" si="4"/>
        <v>3.4000000000003181E-3</v>
      </c>
      <c r="H268">
        <f>SQRT($K$3/B268*G268)</f>
        <v>1.0058523806896846E-2</v>
      </c>
    </row>
    <row r="269" spans="1:8">
      <c r="A269" s="1">
        <v>13300</v>
      </c>
      <c r="B269">
        <v>329.84</v>
      </c>
      <c r="C269">
        <v>0</v>
      </c>
      <c r="D269">
        <v>10</v>
      </c>
      <c r="E269">
        <v>0</v>
      </c>
      <c r="G269">
        <f t="shared" si="4"/>
        <v>3.3999999999991815E-3</v>
      </c>
      <c r="H269">
        <f>SQRT($K$3/B269*G269)</f>
        <v>1.005593138415762E-2</v>
      </c>
    </row>
    <row r="270" spans="1:8">
      <c r="A270" s="1">
        <v>13350</v>
      </c>
      <c r="B270">
        <v>330.01</v>
      </c>
      <c r="C270">
        <v>0</v>
      </c>
      <c r="D270">
        <v>10</v>
      </c>
      <c r="E270">
        <v>0</v>
      </c>
      <c r="G270">
        <f t="shared" si="4"/>
        <v>3.4000000000003181E-3</v>
      </c>
      <c r="H270">
        <f>SQRT($K$3/B270*G270)</f>
        <v>1.0053340964854867E-2</v>
      </c>
    </row>
    <row r="271" spans="1:8">
      <c r="A271" s="1">
        <v>13400</v>
      </c>
      <c r="B271">
        <v>330.17</v>
      </c>
      <c r="C271">
        <v>0</v>
      </c>
      <c r="D271">
        <v>10</v>
      </c>
      <c r="E271">
        <v>0</v>
      </c>
      <c r="G271">
        <f t="shared" si="4"/>
        <v>3.2000000000005002E-3</v>
      </c>
      <c r="H271">
        <f>SQRT($K$3/B271*G271)</f>
        <v>9.7508098638313286E-3</v>
      </c>
    </row>
    <row r="272" spans="1:8">
      <c r="A272" s="1">
        <v>13450</v>
      </c>
      <c r="B272">
        <v>330.34</v>
      </c>
      <c r="C272">
        <v>0</v>
      </c>
      <c r="D272">
        <v>10</v>
      </c>
      <c r="E272">
        <v>0</v>
      </c>
      <c r="G272">
        <f t="shared" si="4"/>
        <v>3.3999999999991815E-3</v>
      </c>
      <c r="H272">
        <f>SQRT($K$3/B272*G272)</f>
        <v>1.0048318213325243E-2</v>
      </c>
    </row>
    <row r="273" spans="1:8">
      <c r="A273" s="1">
        <v>13500</v>
      </c>
      <c r="B273">
        <v>330.51</v>
      </c>
      <c r="C273">
        <v>0</v>
      </c>
      <c r="D273">
        <v>10</v>
      </c>
      <c r="E273">
        <v>0</v>
      </c>
      <c r="G273">
        <f t="shared" si="4"/>
        <v>3.4000000000003181E-3</v>
      </c>
      <c r="H273">
        <f>SQRT($K$3/B273*G273)</f>
        <v>1.0045733671542144E-2</v>
      </c>
    </row>
    <row r="274" spans="1:8">
      <c r="A274" s="1">
        <v>13550</v>
      </c>
      <c r="B274">
        <v>330.68</v>
      </c>
      <c r="C274">
        <v>0</v>
      </c>
      <c r="D274">
        <v>10</v>
      </c>
      <c r="E274">
        <v>0</v>
      </c>
      <c r="G274">
        <f t="shared" si="4"/>
        <v>3.4000000000003181E-3</v>
      </c>
      <c r="H274">
        <f>SQRT($K$3/B274*G274)</f>
        <v>1.0043151123052662E-2</v>
      </c>
    </row>
    <row r="275" spans="1:8">
      <c r="A275" s="1">
        <v>13600</v>
      </c>
      <c r="B275">
        <v>330.85</v>
      </c>
      <c r="C275">
        <v>0</v>
      </c>
      <c r="D275">
        <v>10</v>
      </c>
      <c r="E275">
        <v>0</v>
      </c>
      <c r="G275">
        <f t="shared" si="4"/>
        <v>3.4000000000003181E-3</v>
      </c>
      <c r="H275">
        <f>SQRT($K$3/B275*G275)</f>
        <v>1.0040570565297618E-2</v>
      </c>
    </row>
    <row r="276" spans="1:8">
      <c r="A276" s="1">
        <v>13650</v>
      </c>
      <c r="B276">
        <v>331.02</v>
      </c>
      <c r="C276">
        <v>0</v>
      </c>
      <c r="D276">
        <v>10</v>
      </c>
      <c r="E276">
        <v>0</v>
      </c>
      <c r="G276">
        <f t="shared" si="4"/>
        <v>3.3999999999991815E-3</v>
      </c>
      <c r="H276">
        <f>SQRT($K$3/B276*G276)</f>
        <v>1.0037991995719083E-2</v>
      </c>
    </row>
    <row r="277" spans="1:8">
      <c r="A277" s="1">
        <v>13700</v>
      </c>
      <c r="B277">
        <v>331.19</v>
      </c>
      <c r="C277">
        <v>0</v>
      </c>
      <c r="D277">
        <v>10</v>
      </c>
      <c r="E277">
        <v>0</v>
      </c>
      <c r="G277">
        <f t="shared" si="4"/>
        <v>3.4000000000003181E-3</v>
      </c>
      <c r="H277">
        <f>SQRT($K$3/B277*G277)</f>
        <v>1.0035415411770431E-2</v>
      </c>
    </row>
    <row r="278" spans="1:8">
      <c r="A278" s="1">
        <v>13750</v>
      </c>
      <c r="B278">
        <v>331.35</v>
      </c>
      <c r="C278">
        <v>0</v>
      </c>
      <c r="D278">
        <v>10</v>
      </c>
      <c r="E278">
        <v>0</v>
      </c>
      <c r="G278">
        <f t="shared" si="4"/>
        <v>3.2000000000005002E-3</v>
      </c>
      <c r="H278">
        <f>SQRT($K$3/B278*G278)</f>
        <v>9.7334321399127934E-3</v>
      </c>
    </row>
    <row r="279" spans="1:8">
      <c r="A279" s="1">
        <v>13800</v>
      </c>
      <c r="B279">
        <v>331.52</v>
      </c>
      <c r="C279">
        <v>0</v>
      </c>
      <c r="D279">
        <v>10</v>
      </c>
      <c r="E279">
        <v>0</v>
      </c>
      <c r="G279">
        <f t="shared" si="4"/>
        <v>3.3999999999991815E-3</v>
      </c>
      <c r="H279">
        <f>SQRT($K$3/B279*G279)</f>
        <v>1.0030419466392741E-2</v>
      </c>
    </row>
    <row r="280" spans="1:8">
      <c r="A280" s="1">
        <v>13850</v>
      </c>
      <c r="B280">
        <v>331.69</v>
      </c>
      <c r="C280">
        <v>0</v>
      </c>
      <c r="D280">
        <v>10</v>
      </c>
      <c r="E280">
        <v>0</v>
      </c>
      <c r="G280">
        <f t="shared" si="4"/>
        <v>3.4000000000003181E-3</v>
      </c>
      <c r="H280">
        <f>SQRT($K$3/B280*G280)</f>
        <v>1.002784870777677E-2</v>
      </c>
    </row>
    <row r="281" spans="1:8">
      <c r="A281" s="1">
        <v>13900</v>
      </c>
      <c r="B281">
        <v>331.86</v>
      </c>
      <c r="C281">
        <v>0</v>
      </c>
      <c r="D281">
        <v>10</v>
      </c>
      <c r="E281">
        <v>0</v>
      </c>
      <c r="G281">
        <f t="shared" si="4"/>
        <v>3.4000000000003181E-3</v>
      </c>
      <c r="H281">
        <f>SQRT($K$3/B281*G281)</f>
        <v>1.0025279924773626E-2</v>
      </c>
    </row>
    <row r="282" spans="1:8">
      <c r="A282" s="1">
        <v>13950</v>
      </c>
      <c r="B282">
        <v>332.03</v>
      </c>
      <c r="C282">
        <v>0</v>
      </c>
      <c r="D282">
        <v>10</v>
      </c>
      <c r="E282">
        <v>0</v>
      </c>
      <c r="G282">
        <f t="shared" si="4"/>
        <v>3.3999999999991815E-3</v>
      </c>
      <c r="H282">
        <f>SQRT($K$3/B282*G282)</f>
        <v>1.0022713114854189E-2</v>
      </c>
    </row>
    <row r="283" spans="1:8">
      <c r="A283" s="1">
        <v>14000</v>
      </c>
      <c r="B283">
        <v>332.2</v>
      </c>
      <c r="C283">
        <v>0</v>
      </c>
      <c r="D283">
        <v>10</v>
      </c>
      <c r="E283">
        <v>0</v>
      </c>
      <c r="G283">
        <f t="shared" si="4"/>
        <v>3.4000000000003181E-3</v>
      </c>
      <c r="H283">
        <f>SQRT($K$3/B283*G283)</f>
        <v>1.0020148275498896E-2</v>
      </c>
    </row>
    <row r="284" spans="1:8">
      <c r="A284" s="1">
        <v>14050</v>
      </c>
      <c r="B284">
        <v>332.37</v>
      </c>
      <c r="C284">
        <v>0</v>
      </c>
      <c r="D284">
        <v>10</v>
      </c>
      <c r="E284">
        <v>0</v>
      </c>
      <c r="G284">
        <f t="shared" si="4"/>
        <v>3.4000000000003181E-3</v>
      </c>
      <c r="H284">
        <f>SQRT($K$3/B284*G284)</f>
        <v>1.0017585404182653E-2</v>
      </c>
    </row>
    <row r="285" spans="1:8">
      <c r="A285" s="1">
        <v>14100</v>
      </c>
      <c r="B285">
        <v>332.54</v>
      </c>
      <c r="C285">
        <v>0</v>
      </c>
      <c r="D285">
        <v>10</v>
      </c>
      <c r="E285">
        <v>0</v>
      </c>
      <c r="G285">
        <f t="shared" si="4"/>
        <v>3.4000000000003181E-3</v>
      </c>
      <c r="H285">
        <f>SQRT($K$3/B285*G285)</f>
        <v>1.0015024498391575E-2</v>
      </c>
    </row>
    <row r="286" spans="1:8">
      <c r="A286" s="1">
        <v>14150</v>
      </c>
      <c r="B286">
        <v>332.71</v>
      </c>
      <c r="C286">
        <v>0</v>
      </c>
      <c r="D286">
        <v>10</v>
      </c>
      <c r="E286">
        <v>0</v>
      </c>
      <c r="G286">
        <f t="shared" si="4"/>
        <v>3.3999999999991815E-3</v>
      </c>
      <c r="H286">
        <f>SQRT($K$3/B286*G286)</f>
        <v>1.0012465555612927E-2</v>
      </c>
    </row>
    <row r="287" spans="1:8">
      <c r="A287" s="1">
        <v>14200</v>
      </c>
      <c r="B287">
        <v>332.88</v>
      </c>
      <c r="C287">
        <v>0</v>
      </c>
      <c r="D287">
        <v>10</v>
      </c>
      <c r="E287">
        <v>0</v>
      </c>
      <c r="G287">
        <f t="shared" si="4"/>
        <v>3.4000000000003181E-3</v>
      </c>
      <c r="H287">
        <f>SQRT($K$3/B287*G287)</f>
        <v>1.0009908573345159E-2</v>
      </c>
    </row>
    <row r="288" spans="1:8">
      <c r="A288" s="1">
        <v>14250</v>
      </c>
      <c r="B288">
        <v>333.05</v>
      </c>
      <c r="C288">
        <v>0</v>
      </c>
      <c r="D288">
        <v>10</v>
      </c>
      <c r="E288">
        <v>0</v>
      </c>
      <c r="G288">
        <f t="shared" si="4"/>
        <v>3.4000000000003181E-3</v>
      </c>
      <c r="H288">
        <f>SQRT($K$3/B288*G288)</f>
        <v>1.0007353549081157E-2</v>
      </c>
    </row>
    <row r="289" spans="1:8">
      <c r="A289" s="1">
        <v>14300</v>
      </c>
      <c r="B289">
        <v>333.22</v>
      </c>
      <c r="C289">
        <v>0</v>
      </c>
      <c r="D289">
        <v>10</v>
      </c>
      <c r="E289">
        <v>0</v>
      </c>
      <c r="G289">
        <f t="shared" si="4"/>
        <v>3.4000000000003181E-3</v>
      </c>
      <c r="H289">
        <f>SQRT($K$3/B289*G289)</f>
        <v>1.0004800480324968E-2</v>
      </c>
    </row>
    <row r="290" spans="1:8">
      <c r="A290" s="1">
        <v>14350</v>
      </c>
      <c r="B290">
        <v>333.39</v>
      </c>
      <c r="C290">
        <v>0</v>
      </c>
      <c r="D290">
        <v>10</v>
      </c>
      <c r="E290">
        <v>0</v>
      </c>
      <c r="G290">
        <f t="shared" si="4"/>
        <v>3.3999999999991815E-3</v>
      </c>
      <c r="H290">
        <f>SQRT($K$3/B290*G290)</f>
        <v>1.0002249364581758E-2</v>
      </c>
    </row>
    <row r="291" spans="1:8">
      <c r="A291" s="1">
        <v>14400</v>
      </c>
      <c r="B291">
        <v>333.56</v>
      </c>
      <c r="C291">
        <v>0</v>
      </c>
      <c r="D291">
        <v>10</v>
      </c>
      <c r="E291">
        <v>0</v>
      </c>
      <c r="G291">
        <f t="shared" si="4"/>
        <v>3.4000000000003181E-3</v>
      </c>
      <c r="H291">
        <f>SQRT($K$3/B291*G291)</f>
        <v>9.9997001993678211E-3</v>
      </c>
    </row>
    <row r="292" spans="1:8">
      <c r="A292" s="1">
        <v>14450</v>
      </c>
      <c r="B292">
        <v>333.73</v>
      </c>
      <c r="C292">
        <v>0</v>
      </c>
      <c r="D292">
        <v>10</v>
      </c>
      <c r="E292">
        <v>0</v>
      </c>
      <c r="G292">
        <f t="shared" si="4"/>
        <v>3.4000000000003181E-3</v>
      </c>
      <c r="H292">
        <f>SQRT($K$3/B292*G292)</f>
        <v>9.9971529821938597E-3</v>
      </c>
    </row>
    <row r="293" spans="1:8">
      <c r="A293" s="1">
        <v>14500</v>
      </c>
      <c r="B293">
        <v>333.9</v>
      </c>
      <c r="C293">
        <v>0</v>
      </c>
      <c r="D293">
        <v>10</v>
      </c>
      <c r="E293">
        <v>0</v>
      </c>
      <c r="G293">
        <f t="shared" si="4"/>
        <v>3.3999999999991815E-3</v>
      </c>
      <c r="H293">
        <f>SQRT($K$3/B293*G293)</f>
        <v>9.9946077105800245E-3</v>
      </c>
    </row>
    <row r="294" spans="1:8">
      <c r="A294" s="1">
        <v>14550</v>
      </c>
      <c r="B294">
        <v>334.07</v>
      </c>
      <c r="C294">
        <v>0</v>
      </c>
      <c r="D294">
        <v>10</v>
      </c>
      <c r="E294">
        <v>0</v>
      </c>
      <c r="G294">
        <f t="shared" si="4"/>
        <v>3.4000000000003181E-3</v>
      </c>
      <c r="H294">
        <f>SQRT($K$3/B294*G294)</f>
        <v>9.9920643820558871E-3</v>
      </c>
    </row>
    <row r="295" spans="1:8">
      <c r="A295" s="1">
        <v>14600</v>
      </c>
      <c r="B295">
        <v>334.24</v>
      </c>
      <c r="C295">
        <v>0</v>
      </c>
      <c r="D295">
        <v>10</v>
      </c>
      <c r="E295">
        <v>0</v>
      </c>
      <c r="G295">
        <f t="shared" si="4"/>
        <v>3.4000000000003181E-3</v>
      </c>
      <c r="H295">
        <f>SQRT($K$3/B295*G295)</f>
        <v>9.989522994145409E-3</v>
      </c>
    </row>
    <row r="296" spans="1:8">
      <c r="A296" s="1">
        <v>14650</v>
      </c>
      <c r="B296">
        <v>334.41</v>
      </c>
      <c r="C296">
        <v>0</v>
      </c>
      <c r="D296">
        <v>10</v>
      </c>
      <c r="E296">
        <v>0</v>
      </c>
      <c r="G296">
        <f t="shared" si="4"/>
        <v>3.4000000000003181E-3</v>
      </c>
      <c r="H296">
        <f>SQRT($K$3/B296*G296)</f>
        <v>9.9869835443836281E-3</v>
      </c>
    </row>
    <row r="297" spans="1:8">
      <c r="A297" s="1">
        <v>14700</v>
      </c>
      <c r="B297">
        <v>334.58</v>
      </c>
      <c r="C297">
        <v>0</v>
      </c>
      <c r="D297">
        <v>10</v>
      </c>
      <c r="E297">
        <v>0</v>
      </c>
      <c r="G297">
        <f t="shared" si="4"/>
        <v>3.3999999999991815E-3</v>
      </c>
      <c r="H297">
        <f>SQRT($K$3/B297*G297)</f>
        <v>9.9844460303066315E-3</v>
      </c>
    </row>
    <row r="298" spans="1:8">
      <c r="A298" s="1">
        <v>14750</v>
      </c>
      <c r="B298">
        <v>334.75</v>
      </c>
      <c r="C298">
        <v>0</v>
      </c>
      <c r="D298">
        <v>10</v>
      </c>
      <c r="E298">
        <v>0</v>
      </c>
      <c r="G298">
        <f t="shared" si="4"/>
        <v>3.4000000000003181E-3</v>
      </c>
      <c r="H298">
        <f>SQRT($K$3/B298*G298)</f>
        <v>9.9819104494615566E-3</v>
      </c>
    </row>
    <row r="299" spans="1:8">
      <c r="A299" s="1">
        <v>14800</v>
      </c>
      <c r="B299">
        <v>334.92</v>
      </c>
      <c r="C299">
        <v>0</v>
      </c>
      <c r="D299">
        <v>10</v>
      </c>
      <c r="E299">
        <v>0</v>
      </c>
      <c r="G299">
        <f t="shared" si="4"/>
        <v>3.4000000000003181E-3</v>
      </c>
      <c r="H299">
        <f>SQRT($K$3/B299*G299)</f>
        <v>9.9793767993898979E-3</v>
      </c>
    </row>
    <row r="300" spans="1:8">
      <c r="A300" s="1">
        <v>14850</v>
      </c>
      <c r="B300">
        <v>335.09</v>
      </c>
      <c r="C300">
        <v>0</v>
      </c>
      <c r="D300">
        <v>10</v>
      </c>
      <c r="E300">
        <v>0</v>
      </c>
      <c r="G300">
        <f t="shared" si="4"/>
        <v>3.3999999999991815E-3</v>
      </c>
      <c r="H300">
        <f>SQRT($K$3/B300*G300)</f>
        <v>9.976845077642512E-3</v>
      </c>
    </row>
    <row r="301" spans="1:8">
      <c r="A301" s="1">
        <v>14900</v>
      </c>
      <c r="B301">
        <v>335.26</v>
      </c>
      <c r="C301">
        <v>0</v>
      </c>
      <c r="D301">
        <v>10</v>
      </c>
      <c r="E301">
        <v>0</v>
      </c>
      <c r="G301">
        <f t="shared" si="4"/>
        <v>3.4000000000003181E-3</v>
      </c>
      <c r="H301">
        <f>SQRT($K$3/B301*G301)</f>
        <v>9.9743152817796058E-3</v>
      </c>
    </row>
    <row r="302" spans="1:8">
      <c r="A302" s="1">
        <v>14950</v>
      </c>
      <c r="B302">
        <v>335.43</v>
      </c>
      <c r="C302">
        <v>0</v>
      </c>
      <c r="D302">
        <v>10</v>
      </c>
      <c r="E302">
        <v>0</v>
      </c>
      <c r="G302">
        <f t="shared" si="4"/>
        <v>3.4000000000003181E-3</v>
      </c>
      <c r="H302">
        <f>SQRT($K$3/B302*G302)</f>
        <v>9.971787409355717E-3</v>
      </c>
    </row>
    <row r="303" spans="1:8">
      <c r="A303" s="1">
        <v>15000</v>
      </c>
      <c r="B303">
        <v>335.61</v>
      </c>
      <c r="C303">
        <v>0</v>
      </c>
      <c r="D303">
        <v>10</v>
      </c>
      <c r="E303">
        <v>0</v>
      </c>
      <c r="G303">
        <f t="shared" si="4"/>
        <v>3.6000000000001365E-3</v>
      </c>
      <c r="H303">
        <f>SQRT($K$3/B303*G303)</f>
        <v>1.0258132578123073E-2</v>
      </c>
    </row>
    <row r="304" spans="1:8">
      <c r="A304" s="1">
        <v>15050</v>
      </c>
      <c r="B304">
        <v>335.78</v>
      </c>
      <c r="C304">
        <v>0</v>
      </c>
      <c r="D304">
        <v>10</v>
      </c>
      <c r="E304">
        <v>0</v>
      </c>
      <c r="G304">
        <f t="shared" si="4"/>
        <v>3.3999999999991815E-3</v>
      </c>
      <c r="H304">
        <f>SQRT($K$3/B304*G304)</f>
        <v>9.9665890122637695E-3</v>
      </c>
    </row>
    <row r="305" spans="1:8">
      <c r="A305" s="1">
        <v>15100</v>
      </c>
      <c r="B305">
        <v>335.95</v>
      </c>
      <c r="C305">
        <v>0</v>
      </c>
      <c r="D305">
        <v>10</v>
      </c>
      <c r="E305">
        <v>0</v>
      </c>
      <c r="G305">
        <f t="shared" si="4"/>
        <v>3.4000000000003181E-3</v>
      </c>
      <c r="H305">
        <f>SQRT($K$3/B305*G305)</f>
        <v>9.9640670082029904E-3</v>
      </c>
    </row>
    <row r="306" spans="1:8">
      <c r="A306" s="1">
        <v>15150</v>
      </c>
      <c r="B306">
        <v>336.12</v>
      </c>
      <c r="C306">
        <v>0</v>
      </c>
      <c r="D306">
        <v>10</v>
      </c>
      <c r="E306">
        <v>0</v>
      </c>
      <c r="G306">
        <f t="shared" si="4"/>
        <v>3.4000000000003181E-3</v>
      </c>
      <c r="H306">
        <f>SQRT($K$3/B306*G306)</f>
        <v>9.9615469177201602E-3</v>
      </c>
    </row>
    <row r="307" spans="1:8">
      <c r="A307" s="1">
        <v>15200</v>
      </c>
      <c r="B307">
        <v>336.29</v>
      </c>
      <c r="C307">
        <v>0</v>
      </c>
      <c r="D307">
        <v>10</v>
      </c>
      <c r="E307">
        <v>0</v>
      </c>
      <c r="G307">
        <f t="shared" si="4"/>
        <v>3.4000000000003181E-3</v>
      </c>
      <c r="H307">
        <f>SQRT($K$3/B307*G307)</f>
        <v>9.9590287383982765E-3</v>
      </c>
    </row>
    <row r="308" spans="1:8">
      <c r="A308" s="1">
        <v>15250</v>
      </c>
      <c r="B308">
        <v>336.46</v>
      </c>
      <c r="C308">
        <v>0</v>
      </c>
      <c r="D308">
        <v>10</v>
      </c>
      <c r="E308">
        <v>0</v>
      </c>
      <c r="G308">
        <f t="shared" si="4"/>
        <v>3.3999999999991815E-3</v>
      </c>
      <c r="H308">
        <f>SQRT($K$3/B308*G308)</f>
        <v>9.9565124678212841E-3</v>
      </c>
    </row>
    <row r="309" spans="1:8">
      <c r="A309" s="1">
        <v>15300</v>
      </c>
      <c r="B309">
        <v>336.63</v>
      </c>
      <c r="C309">
        <v>0</v>
      </c>
      <c r="D309">
        <v>10</v>
      </c>
      <c r="E309">
        <v>0</v>
      </c>
      <c r="G309">
        <f t="shared" si="4"/>
        <v>3.4000000000003181E-3</v>
      </c>
      <c r="H309">
        <f>SQRT($K$3/B309*G309)</f>
        <v>9.9539981035840514E-3</v>
      </c>
    </row>
    <row r="310" spans="1:8">
      <c r="A310" s="1">
        <v>15350</v>
      </c>
      <c r="B310">
        <v>336.81</v>
      </c>
      <c r="C310">
        <v>0</v>
      </c>
      <c r="D310">
        <v>10</v>
      </c>
      <c r="E310">
        <v>0</v>
      </c>
      <c r="G310">
        <f t="shared" si="4"/>
        <v>3.6000000000001365E-3</v>
      </c>
      <c r="H310">
        <f>SQRT($K$3/B310*G310)</f>
        <v>1.0239842231794532E-2</v>
      </c>
    </row>
    <row r="311" spans="1:8">
      <c r="A311" s="1">
        <v>15400</v>
      </c>
      <c r="B311">
        <v>336.98</v>
      </c>
      <c r="C311">
        <v>0</v>
      </c>
      <c r="D311">
        <v>10</v>
      </c>
      <c r="E311">
        <v>0</v>
      </c>
      <c r="G311">
        <f t="shared" si="4"/>
        <v>3.4000000000003181E-3</v>
      </c>
      <c r="H311">
        <f>SQRT($K$3/B311*G311)</f>
        <v>9.9488274637340515E-3</v>
      </c>
    </row>
    <row r="312" spans="1:8">
      <c r="A312" s="1">
        <v>15450</v>
      </c>
      <c r="B312">
        <v>337.15</v>
      </c>
      <c r="C312">
        <v>0</v>
      </c>
      <c r="D312">
        <v>10</v>
      </c>
      <c r="E312">
        <v>0</v>
      </c>
      <c r="G312">
        <f t="shared" si="4"/>
        <v>3.3999999999991815E-3</v>
      </c>
      <c r="H312">
        <f>SQRT($K$3/B312*G312)</f>
        <v>9.9463189157236367E-3</v>
      </c>
    </row>
    <row r="313" spans="1:8">
      <c r="A313" s="1">
        <v>15500</v>
      </c>
      <c r="B313">
        <v>337.32</v>
      </c>
      <c r="C313">
        <v>0</v>
      </c>
      <c r="D313">
        <v>10</v>
      </c>
      <c r="E313">
        <v>0</v>
      </c>
      <c r="G313">
        <f t="shared" si="4"/>
        <v>3.4000000000003181E-3</v>
      </c>
      <c r="H313">
        <f>SQRT($K$3/B313*G313)</f>
        <v>9.9438122643143341E-3</v>
      </c>
    </row>
    <row r="314" spans="1:8">
      <c r="A314" s="1">
        <v>15550</v>
      </c>
      <c r="B314">
        <v>337.49</v>
      </c>
      <c r="C314">
        <v>0</v>
      </c>
      <c r="D314">
        <v>10</v>
      </c>
      <c r="E314">
        <v>0</v>
      </c>
      <c r="G314">
        <f t="shared" si="4"/>
        <v>3.4000000000003181E-3</v>
      </c>
      <c r="H314">
        <f>SQRT($K$3/B314*G314)</f>
        <v>9.94130750711247E-3</v>
      </c>
    </row>
    <row r="315" spans="1:8">
      <c r="A315" s="1">
        <v>15600</v>
      </c>
      <c r="B315">
        <v>337.67</v>
      </c>
      <c r="C315">
        <v>0</v>
      </c>
      <c r="D315">
        <v>10</v>
      </c>
      <c r="E315">
        <v>0</v>
      </c>
      <c r="G315">
        <f t="shared" si="4"/>
        <v>3.6000000000001365E-3</v>
      </c>
      <c r="H315">
        <f>SQRT($K$3/B315*G315)</f>
        <v>1.0226794169243521E-2</v>
      </c>
    </row>
    <row r="316" spans="1:8">
      <c r="A316" s="1">
        <v>15650</v>
      </c>
      <c r="B316">
        <v>337.84</v>
      </c>
      <c r="C316">
        <v>0</v>
      </c>
      <c r="D316">
        <v>10</v>
      </c>
      <c r="E316">
        <v>0</v>
      </c>
      <c r="G316">
        <f t="shared" si="4"/>
        <v>3.3999999999991815E-3</v>
      </c>
      <c r="H316">
        <f>SQRT($K$3/B316*G316)</f>
        <v>9.9361566083593974E-3</v>
      </c>
    </row>
    <row r="317" spans="1:8">
      <c r="A317" s="1">
        <v>15700</v>
      </c>
      <c r="B317">
        <v>338.01</v>
      </c>
      <c r="C317">
        <v>0</v>
      </c>
      <c r="D317">
        <v>10</v>
      </c>
      <c r="E317">
        <v>0</v>
      </c>
      <c r="G317">
        <f t="shared" si="4"/>
        <v>3.4000000000003181E-3</v>
      </c>
      <c r="H317">
        <f>SQRT($K$3/B317*G317)</f>
        <v>9.9336576304265879E-3</v>
      </c>
    </row>
    <row r="318" spans="1:8">
      <c r="A318" s="1">
        <v>15750</v>
      </c>
      <c r="B318">
        <v>338.18</v>
      </c>
      <c r="C318">
        <v>0</v>
      </c>
      <c r="D318">
        <v>10</v>
      </c>
      <c r="E318">
        <v>0</v>
      </c>
      <c r="G318">
        <f t="shared" si="4"/>
        <v>3.4000000000003181E-3</v>
      </c>
      <c r="H318">
        <f>SQRT($K$3/B318*G318)</f>
        <v>9.9311605370491097E-3</v>
      </c>
    </row>
    <row r="319" spans="1:8">
      <c r="A319" s="1">
        <v>15800</v>
      </c>
      <c r="B319">
        <v>338.35</v>
      </c>
      <c r="C319">
        <v>0</v>
      </c>
      <c r="D319">
        <v>10</v>
      </c>
      <c r="E319">
        <v>0</v>
      </c>
      <c r="G319">
        <f t="shared" si="4"/>
        <v>3.4000000000003181E-3</v>
      </c>
      <c r="H319">
        <f>SQRT($K$3/B319*G319)</f>
        <v>9.9286653258611433E-3</v>
      </c>
    </row>
    <row r="320" spans="1:8">
      <c r="A320" s="1">
        <v>15850</v>
      </c>
      <c r="B320">
        <v>338.53</v>
      </c>
      <c r="C320">
        <v>0</v>
      </c>
      <c r="D320">
        <v>10</v>
      </c>
      <c r="E320">
        <v>0</v>
      </c>
      <c r="G320">
        <f t="shared" si="4"/>
        <v>3.5999999999989994E-3</v>
      </c>
      <c r="H320">
        <f>SQRT($K$3/B320*G320)</f>
        <v>1.0213795859176131E-2</v>
      </c>
    </row>
    <row r="321" spans="1:8">
      <c r="A321" s="1">
        <v>15900</v>
      </c>
      <c r="B321">
        <v>338.7</v>
      </c>
      <c r="C321">
        <v>0</v>
      </c>
      <c r="D321">
        <v>10</v>
      </c>
      <c r="E321">
        <v>0</v>
      </c>
      <c r="G321">
        <f t="shared" si="4"/>
        <v>3.4000000000003181E-3</v>
      </c>
      <c r="H321">
        <f>SQRT($K$3/B321*G321)</f>
        <v>9.9235340429106398E-3</v>
      </c>
    </row>
    <row r="322" spans="1:8">
      <c r="A322" s="1">
        <v>15950</v>
      </c>
      <c r="B322">
        <v>338.87</v>
      </c>
      <c r="C322">
        <v>0</v>
      </c>
      <c r="D322">
        <v>10</v>
      </c>
      <c r="E322">
        <v>0</v>
      </c>
      <c r="G322">
        <f t="shared" si="4"/>
        <v>3.4000000000003181E-3</v>
      </c>
      <c r="H322">
        <f>SQRT($K$3/B322*G322)</f>
        <v>9.9210445743553415E-3</v>
      </c>
    </row>
    <row r="323" spans="1:8">
      <c r="A323" s="1">
        <v>16000</v>
      </c>
      <c r="B323">
        <v>339.05</v>
      </c>
      <c r="C323">
        <v>0</v>
      </c>
      <c r="D323">
        <v>10</v>
      </c>
      <c r="E323">
        <v>0</v>
      </c>
      <c r="G323">
        <f t="shared" si="4"/>
        <v>3.6000000000001365E-3</v>
      </c>
      <c r="H323">
        <f>SQRT($K$3/B323*G323)</f>
        <v>1.0205960419208888E-2</v>
      </c>
    </row>
    <row r="324" spans="1:8">
      <c r="A324" s="1">
        <v>16050</v>
      </c>
      <c r="B324">
        <v>339.22</v>
      </c>
      <c r="C324">
        <v>0</v>
      </c>
      <c r="D324">
        <v>10</v>
      </c>
      <c r="E324">
        <v>0</v>
      </c>
      <c r="G324">
        <f t="shared" si="4"/>
        <v>3.4000000000003181E-3</v>
      </c>
      <c r="H324">
        <f>SQRT($K$3/B324*G324)</f>
        <v>9.9159250918046584E-3</v>
      </c>
    </row>
    <row r="325" spans="1:8">
      <c r="A325" s="1">
        <v>16100</v>
      </c>
      <c r="B325">
        <v>339.39</v>
      </c>
      <c r="C325">
        <v>0</v>
      </c>
      <c r="D325">
        <v>10</v>
      </c>
      <c r="E325">
        <v>0</v>
      </c>
      <c r="G325">
        <f t="shared" ref="G325:G388" si="5">(B325-B324)/(A325-A324)</f>
        <v>3.3999999999991815E-3</v>
      </c>
      <c r="H325">
        <f>SQRT($K$3/B325*G325)</f>
        <v>9.9134413438867058E-3</v>
      </c>
    </row>
    <row r="326" spans="1:8">
      <c r="A326" s="1">
        <v>16150</v>
      </c>
      <c r="B326">
        <v>339.56</v>
      </c>
      <c r="C326">
        <v>0</v>
      </c>
      <c r="D326">
        <v>10</v>
      </c>
      <c r="E326">
        <v>0</v>
      </c>
      <c r="G326">
        <f t="shared" si="5"/>
        <v>3.4000000000003181E-3</v>
      </c>
      <c r="H326">
        <f>SQRT($K$3/B326*G326)</f>
        <v>9.9109594614303579E-3</v>
      </c>
    </row>
    <row r="327" spans="1:8">
      <c r="A327" s="1">
        <v>16200</v>
      </c>
      <c r="B327">
        <v>339.74</v>
      </c>
      <c r="C327">
        <v>0</v>
      </c>
      <c r="D327">
        <v>10</v>
      </c>
      <c r="E327">
        <v>0</v>
      </c>
      <c r="G327">
        <f t="shared" si="5"/>
        <v>3.6000000000001365E-3</v>
      </c>
      <c r="H327">
        <f>SQRT($K$3/B327*G327)</f>
        <v>1.0195591178178035E-2</v>
      </c>
    </row>
    <row r="328" spans="1:8">
      <c r="A328" s="1">
        <v>16250</v>
      </c>
      <c r="B328">
        <v>339.91</v>
      </c>
      <c r="C328">
        <v>0</v>
      </c>
      <c r="D328">
        <v>10</v>
      </c>
      <c r="E328">
        <v>0</v>
      </c>
      <c r="G328">
        <f t="shared" si="5"/>
        <v>3.4000000000003181E-3</v>
      </c>
      <c r="H328">
        <f>SQRT($K$3/B328*G328)</f>
        <v>9.9058555674246002E-3</v>
      </c>
    </row>
    <row r="329" spans="1:8">
      <c r="A329" s="1">
        <v>16300</v>
      </c>
      <c r="B329">
        <v>340.08</v>
      </c>
      <c r="C329">
        <v>0</v>
      </c>
      <c r="D329">
        <v>10</v>
      </c>
      <c r="E329">
        <v>0</v>
      </c>
      <c r="G329">
        <f t="shared" si="5"/>
        <v>3.3999999999991815E-3</v>
      </c>
      <c r="H329">
        <f>SQRT($K$3/B329*G329)</f>
        <v>9.903379376601679E-3</v>
      </c>
    </row>
    <row r="330" spans="1:8">
      <c r="A330" s="1">
        <v>16350</v>
      </c>
      <c r="B330">
        <v>340.26</v>
      </c>
      <c r="C330">
        <v>0</v>
      </c>
      <c r="D330">
        <v>10</v>
      </c>
      <c r="E330">
        <v>0</v>
      </c>
      <c r="G330">
        <f t="shared" si="5"/>
        <v>3.6000000000001365E-3</v>
      </c>
      <c r="H330">
        <f>SQRT($K$3/B330*G330)</f>
        <v>1.0187797528415542E-2</v>
      </c>
    </row>
    <row r="331" spans="1:8">
      <c r="A331" s="1">
        <v>16400</v>
      </c>
      <c r="B331">
        <v>340.43</v>
      </c>
      <c r="C331">
        <v>0</v>
      </c>
      <c r="D331">
        <v>10</v>
      </c>
      <c r="E331">
        <v>0</v>
      </c>
      <c r="G331">
        <f t="shared" si="5"/>
        <v>3.4000000000003181E-3</v>
      </c>
      <c r="H331">
        <f>SQRT($K$3/B331*G331)</f>
        <v>9.8982871782869689E-3</v>
      </c>
    </row>
    <row r="332" spans="1:8">
      <c r="A332" s="1">
        <v>16450</v>
      </c>
      <c r="B332">
        <v>340.6</v>
      </c>
      <c r="C332">
        <v>0</v>
      </c>
      <c r="D332">
        <v>10</v>
      </c>
      <c r="E332">
        <v>0</v>
      </c>
      <c r="G332">
        <f t="shared" si="5"/>
        <v>3.4000000000003181E-3</v>
      </c>
      <c r="H332">
        <f>SQRT($K$3/B332*G332)</f>
        <v>9.8958166573815155E-3</v>
      </c>
    </row>
    <row r="333" spans="1:8">
      <c r="A333" s="1">
        <v>16500</v>
      </c>
      <c r="B333">
        <v>340.78</v>
      </c>
      <c r="C333">
        <v>0</v>
      </c>
      <c r="D333">
        <v>10</v>
      </c>
      <c r="E333">
        <v>0</v>
      </c>
      <c r="G333">
        <f t="shared" si="5"/>
        <v>3.5999999999989994E-3</v>
      </c>
      <c r="H333">
        <f>SQRT($K$3/B333*G333)</f>
        <v>1.0180021724088965E-2</v>
      </c>
    </row>
    <row r="334" spans="1:8">
      <c r="A334" s="1">
        <v>16550</v>
      </c>
      <c r="B334">
        <v>340.95</v>
      </c>
      <c r="C334">
        <v>0</v>
      </c>
      <c r="D334">
        <v>10</v>
      </c>
      <c r="E334">
        <v>0</v>
      </c>
      <c r="G334">
        <f t="shared" si="5"/>
        <v>3.4000000000003181E-3</v>
      </c>
      <c r="H334">
        <f>SQRT($K$3/B334*G334)</f>
        <v>9.8907361101544453E-3</v>
      </c>
    </row>
    <row r="335" spans="1:8">
      <c r="A335" s="1">
        <v>16600</v>
      </c>
      <c r="B335">
        <v>341.13</v>
      </c>
      <c r="C335">
        <v>0</v>
      </c>
      <c r="D335">
        <v>10</v>
      </c>
      <c r="E335">
        <v>0</v>
      </c>
      <c r="G335">
        <f t="shared" si="5"/>
        <v>3.6000000000001365E-3</v>
      </c>
      <c r="H335">
        <f>SQRT($K$3/B335*G335)</f>
        <v>1.0174798023469636E-2</v>
      </c>
    </row>
    <row r="336" spans="1:8">
      <c r="A336" s="1">
        <v>16650</v>
      </c>
      <c r="B336">
        <v>341.3</v>
      </c>
      <c r="C336">
        <v>0</v>
      </c>
      <c r="D336">
        <v>10</v>
      </c>
      <c r="E336">
        <v>0</v>
      </c>
      <c r="G336">
        <f t="shared" si="5"/>
        <v>3.4000000000003181E-3</v>
      </c>
      <c r="H336">
        <f>SQRT($K$3/B336*G336)</f>
        <v>9.8856633800137542E-3</v>
      </c>
    </row>
    <row r="337" spans="1:8">
      <c r="A337" s="1">
        <v>16700</v>
      </c>
      <c r="B337">
        <v>341.47</v>
      </c>
      <c r="C337">
        <v>0</v>
      </c>
      <c r="D337">
        <v>10</v>
      </c>
      <c r="E337">
        <v>0</v>
      </c>
      <c r="G337">
        <f t="shared" si="5"/>
        <v>3.4000000000003181E-3</v>
      </c>
      <c r="H337">
        <f>SQRT($K$3/B337*G337)</f>
        <v>9.8832022970596206E-3</v>
      </c>
    </row>
    <row r="338" spans="1:8">
      <c r="A338" s="1">
        <v>16750</v>
      </c>
      <c r="B338">
        <v>341.65</v>
      </c>
      <c r="C338">
        <v>0</v>
      </c>
      <c r="D338">
        <v>10</v>
      </c>
      <c r="E338">
        <v>0</v>
      </c>
      <c r="G338">
        <f t="shared" si="5"/>
        <v>3.5999999999989994E-3</v>
      </c>
      <c r="H338">
        <f>SQRT($K$3/B338*G338)</f>
        <v>1.0167051924060788E-2</v>
      </c>
    </row>
    <row r="339" spans="1:8">
      <c r="A339" s="1">
        <v>16800</v>
      </c>
      <c r="B339">
        <v>341.82</v>
      </c>
      <c r="C339">
        <v>0</v>
      </c>
      <c r="D339">
        <v>10</v>
      </c>
      <c r="E339">
        <v>0</v>
      </c>
      <c r="G339">
        <f t="shared" si="5"/>
        <v>3.4000000000003181E-3</v>
      </c>
      <c r="H339">
        <f>SQRT($K$3/B339*G339)</f>
        <v>9.8781411439196488E-3</v>
      </c>
    </row>
    <row r="340" spans="1:8">
      <c r="A340" s="1">
        <v>16850</v>
      </c>
      <c r="B340">
        <v>342</v>
      </c>
      <c r="C340">
        <v>0</v>
      </c>
      <c r="D340">
        <v>10</v>
      </c>
      <c r="E340">
        <v>0</v>
      </c>
      <c r="G340">
        <f t="shared" si="5"/>
        <v>3.6000000000001365E-3</v>
      </c>
      <c r="H340">
        <f>SQRT($K$3/B340*G340)</f>
        <v>1.0161848153497511E-2</v>
      </c>
    </row>
    <row r="341" spans="1:8">
      <c r="A341" s="1">
        <v>16900</v>
      </c>
      <c r="B341">
        <v>342.17</v>
      </c>
      <c r="C341">
        <v>0</v>
      </c>
      <c r="D341">
        <v>10</v>
      </c>
      <c r="E341">
        <v>0</v>
      </c>
      <c r="G341">
        <f t="shared" si="5"/>
        <v>3.4000000000003181E-3</v>
      </c>
      <c r="H341">
        <f>SQRT($K$3/B341*G341)</f>
        <v>9.873087758220829E-3</v>
      </c>
    </row>
    <row r="342" spans="1:8">
      <c r="A342" s="1">
        <v>16950</v>
      </c>
      <c r="B342">
        <v>342.35</v>
      </c>
      <c r="C342">
        <v>0</v>
      </c>
      <c r="D342">
        <v>10</v>
      </c>
      <c r="E342">
        <v>0</v>
      </c>
      <c r="G342">
        <f t="shared" si="5"/>
        <v>3.6000000000001365E-3</v>
      </c>
      <c r="H342">
        <f>SQRT($K$3/B342*G342)</f>
        <v>1.015665236505116E-2</v>
      </c>
    </row>
    <row r="343" spans="1:8">
      <c r="A343" s="1">
        <v>17000</v>
      </c>
      <c r="B343">
        <v>342.52</v>
      </c>
      <c r="C343">
        <v>0</v>
      </c>
      <c r="D343">
        <v>10</v>
      </c>
      <c r="E343">
        <v>0</v>
      </c>
      <c r="G343">
        <f t="shared" si="5"/>
        <v>3.3999999999991815E-3</v>
      </c>
      <c r="H343">
        <f>SQRT($K$3/B343*G343)</f>
        <v>9.8680421201137736E-3</v>
      </c>
    </row>
    <row r="344" spans="1:8">
      <c r="A344" s="1">
        <v>17050</v>
      </c>
      <c r="B344">
        <v>342.7</v>
      </c>
      <c r="C344">
        <v>0</v>
      </c>
      <c r="D344">
        <v>10</v>
      </c>
      <c r="E344">
        <v>0</v>
      </c>
      <c r="G344">
        <f t="shared" si="5"/>
        <v>3.6000000000001365E-3</v>
      </c>
      <c r="H344">
        <f>SQRT($K$3/B344*G344)</f>
        <v>1.015146453833776E-2</v>
      </c>
    </row>
    <row r="345" spans="1:8">
      <c r="A345" s="1">
        <v>17100</v>
      </c>
      <c r="B345">
        <v>342.87</v>
      </c>
      <c r="C345">
        <v>0</v>
      </c>
      <c r="D345">
        <v>10</v>
      </c>
      <c r="E345">
        <v>0</v>
      </c>
      <c r="G345">
        <f t="shared" si="5"/>
        <v>3.4000000000003181E-3</v>
      </c>
      <c r="H345">
        <f>SQRT($K$3/B345*G345)</f>
        <v>9.8630042098266126E-3</v>
      </c>
    </row>
    <row r="346" spans="1:8">
      <c r="A346" s="1">
        <v>17150</v>
      </c>
      <c r="B346">
        <v>343.05</v>
      </c>
      <c r="C346">
        <v>0</v>
      </c>
      <c r="D346">
        <v>10</v>
      </c>
      <c r="E346">
        <v>0</v>
      </c>
      <c r="G346">
        <f t="shared" si="5"/>
        <v>3.6000000000001365E-3</v>
      </c>
      <c r="H346">
        <f>SQRT($K$3/B346*G346)</f>
        <v>1.0146284653044547E-2</v>
      </c>
    </row>
    <row r="347" spans="1:8">
      <c r="A347" s="1">
        <v>17200</v>
      </c>
      <c r="B347">
        <v>343.22</v>
      </c>
      <c r="C347">
        <v>0</v>
      </c>
      <c r="D347">
        <v>10</v>
      </c>
      <c r="E347">
        <v>0</v>
      </c>
      <c r="G347">
        <f t="shared" si="5"/>
        <v>3.4000000000003181E-3</v>
      </c>
      <c r="H347">
        <f>SQRT($K$3/B347*G347)</f>
        <v>9.8579740076481948E-3</v>
      </c>
    </row>
    <row r="348" spans="1:8">
      <c r="A348" s="1">
        <v>17250</v>
      </c>
      <c r="B348">
        <v>343.4</v>
      </c>
      <c r="C348">
        <v>0</v>
      </c>
      <c r="D348">
        <v>10</v>
      </c>
      <c r="E348">
        <v>0</v>
      </c>
      <c r="G348">
        <f t="shared" si="5"/>
        <v>3.5999999999989994E-3</v>
      </c>
      <c r="H348">
        <f>SQRT($K$3/B348*G348)</f>
        <v>1.0141112688929629E-2</v>
      </c>
    </row>
    <row r="349" spans="1:8">
      <c r="A349" s="1">
        <v>17300</v>
      </c>
      <c r="B349">
        <v>343.57</v>
      </c>
      <c r="C349">
        <v>0</v>
      </c>
      <c r="D349">
        <v>10</v>
      </c>
      <c r="E349">
        <v>0</v>
      </c>
      <c r="G349">
        <f t="shared" si="5"/>
        <v>3.4000000000003181E-3</v>
      </c>
      <c r="H349">
        <f>SQRT($K$3/B349*G349)</f>
        <v>9.8529514939442384E-3</v>
      </c>
    </row>
    <row r="350" spans="1:8">
      <c r="A350" s="1">
        <v>17350</v>
      </c>
      <c r="B350">
        <v>343.75</v>
      </c>
      <c r="C350">
        <v>0</v>
      </c>
      <c r="D350">
        <v>10</v>
      </c>
      <c r="E350">
        <v>0</v>
      </c>
      <c r="G350">
        <f t="shared" si="5"/>
        <v>3.6000000000001365E-3</v>
      </c>
      <c r="H350">
        <f>SQRT($K$3/B350*G350)</f>
        <v>1.0135948625829673E-2</v>
      </c>
    </row>
    <row r="351" spans="1:8">
      <c r="A351" s="1">
        <v>17400</v>
      </c>
      <c r="B351">
        <v>343.92</v>
      </c>
      <c r="C351">
        <v>0</v>
      </c>
      <c r="D351">
        <v>10</v>
      </c>
      <c r="E351">
        <v>0</v>
      </c>
      <c r="G351">
        <f t="shared" si="5"/>
        <v>3.4000000000003181E-3</v>
      </c>
      <c r="H351">
        <f>SQRT($K$3/B351*G351)</f>
        <v>9.8479366491487745E-3</v>
      </c>
    </row>
    <row r="352" spans="1:8">
      <c r="A352" s="1">
        <v>17450</v>
      </c>
      <c r="B352">
        <v>344.1</v>
      </c>
      <c r="C352">
        <v>0</v>
      </c>
      <c r="D352">
        <v>10</v>
      </c>
      <c r="E352">
        <v>0</v>
      </c>
      <c r="G352">
        <f t="shared" si="5"/>
        <v>3.6000000000001365E-3</v>
      </c>
      <c r="H352">
        <f>SQRT($K$3/B352*G352)</f>
        <v>1.013079244364355E-2</v>
      </c>
    </row>
    <row r="353" spans="1:8">
      <c r="A353" s="1">
        <v>17500</v>
      </c>
      <c r="B353">
        <v>344.27</v>
      </c>
      <c r="C353">
        <v>0</v>
      </c>
      <c r="D353">
        <v>10</v>
      </c>
      <c r="E353">
        <v>0</v>
      </c>
      <c r="G353">
        <f t="shared" si="5"/>
        <v>3.3999999999991815E-3</v>
      </c>
      <c r="H353">
        <f>SQRT($K$3/B353*G353)</f>
        <v>9.8429294537638289E-3</v>
      </c>
    </row>
    <row r="354" spans="1:8">
      <c r="A354" s="1">
        <v>17550</v>
      </c>
      <c r="B354">
        <v>344.45</v>
      </c>
      <c r="C354">
        <v>0</v>
      </c>
      <c r="D354">
        <v>10</v>
      </c>
      <c r="E354">
        <v>0</v>
      </c>
      <c r="G354">
        <f t="shared" si="5"/>
        <v>3.6000000000001365E-3</v>
      </c>
      <c r="H354">
        <f>SQRT($K$3/B354*G354)</f>
        <v>1.0125644122348025E-2</v>
      </c>
    </row>
    <row r="355" spans="1:8">
      <c r="A355" s="1">
        <v>17600</v>
      </c>
      <c r="B355">
        <v>344.62</v>
      </c>
      <c r="C355">
        <v>0</v>
      </c>
      <c r="D355">
        <v>10</v>
      </c>
      <c r="E355">
        <v>0</v>
      </c>
      <c r="G355">
        <f t="shared" si="5"/>
        <v>3.4000000000003181E-3</v>
      </c>
      <c r="H355">
        <f>SQRT($K$3/B355*G355)</f>
        <v>9.8379298883673229E-3</v>
      </c>
    </row>
    <row r="356" spans="1:8">
      <c r="A356" s="1">
        <v>17650</v>
      </c>
      <c r="B356">
        <v>344.8</v>
      </c>
      <c r="C356">
        <v>0</v>
      </c>
      <c r="D356">
        <v>10</v>
      </c>
      <c r="E356">
        <v>0</v>
      </c>
      <c r="G356">
        <f t="shared" si="5"/>
        <v>3.6000000000001365E-3</v>
      </c>
      <c r="H356">
        <f>SQRT($K$3/B356*G356)</f>
        <v>1.0120503641989428E-2</v>
      </c>
    </row>
    <row r="357" spans="1:8">
      <c r="A357" s="1">
        <v>17700</v>
      </c>
      <c r="B357">
        <v>344.97</v>
      </c>
      <c r="C357">
        <v>0</v>
      </c>
      <c r="D357">
        <v>10</v>
      </c>
      <c r="E357">
        <v>0</v>
      </c>
      <c r="G357">
        <f t="shared" si="5"/>
        <v>3.4000000000003181E-3</v>
      </c>
      <c r="H357">
        <f>SQRT($K$3/B357*G357)</f>
        <v>9.8329379335963165E-3</v>
      </c>
    </row>
    <row r="358" spans="1:8">
      <c r="A358" s="1">
        <v>17750</v>
      </c>
      <c r="B358">
        <v>345.15</v>
      </c>
      <c r="C358">
        <v>0</v>
      </c>
      <c r="D358">
        <v>10</v>
      </c>
      <c r="E358">
        <v>0</v>
      </c>
      <c r="G358">
        <f t="shared" si="5"/>
        <v>3.5999999999989994E-3</v>
      </c>
      <c r="H358">
        <f>SQRT($K$3/B358*G358)</f>
        <v>1.0115370982683327E-2</v>
      </c>
    </row>
    <row r="359" spans="1:8">
      <c r="A359" s="1">
        <v>17800</v>
      </c>
      <c r="B359">
        <v>345.33</v>
      </c>
      <c r="C359">
        <v>0</v>
      </c>
      <c r="D359">
        <v>10</v>
      </c>
      <c r="E359">
        <v>0</v>
      </c>
      <c r="G359">
        <f t="shared" si="5"/>
        <v>3.6000000000001365E-3</v>
      </c>
      <c r="H359">
        <f>SQRT($K$3/B359*G359)</f>
        <v>1.0112734368282601E-2</v>
      </c>
    </row>
    <row r="360" spans="1:8">
      <c r="A360" s="1">
        <v>17850</v>
      </c>
      <c r="B360">
        <v>345.5</v>
      </c>
      <c r="C360">
        <v>0</v>
      </c>
      <c r="D360">
        <v>10</v>
      </c>
      <c r="E360">
        <v>0</v>
      </c>
      <c r="G360">
        <f t="shared" si="5"/>
        <v>3.4000000000003181E-3</v>
      </c>
      <c r="H360">
        <f>SQRT($K$3/B360*G360)</f>
        <v>9.8253931329532942E-3</v>
      </c>
    </row>
    <row r="361" spans="1:8">
      <c r="A361" s="1">
        <v>17900</v>
      </c>
      <c r="B361">
        <v>345.68</v>
      </c>
      <c r="C361">
        <v>0</v>
      </c>
      <c r="D361">
        <v>10</v>
      </c>
      <c r="E361">
        <v>0</v>
      </c>
      <c r="G361">
        <f t="shared" si="5"/>
        <v>3.6000000000001365E-3</v>
      </c>
      <c r="H361">
        <f>SQRT($K$3/B361*G361)</f>
        <v>1.0107613514595307E-2</v>
      </c>
    </row>
    <row r="362" spans="1:8">
      <c r="A362" s="1">
        <v>17950</v>
      </c>
      <c r="B362">
        <v>345.86</v>
      </c>
      <c r="C362">
        <v>0</v>
      </c>
      <c r="D362">
        <v>10</v>
      </c>
      <c r="E362">
        <v>0</v>
      </c>
      <c r="G362">
        <f t="shared" si="5"/>
        <v>3.6000000000001365E-3</v>
      </c>
      <c r="H362">
        <f>SQRT($K$3/B362*G362)</f>
        <v>1.0104982960016358E-2</v>
      </c>
    </row>
    <row r="363" spans="1:8">
      <c r="A363" s="1">
        <v>18000</v>
      </c>
      <c r="B363">
        <v>346.03</v>
      </c>
      <c r="C363">
        <v>0</v>
      </c>
      <c r="D363">
        <v>10</v>
      </c>
      <c r="E363">
        <v>0</v>
      </c>
      <c r="G363">
        <f t="shared" si="5"/>
        <v>3.3999999999991815E-3</v>
      </c>
      <c r="H363">
        <f>SQRT($K$3/B363*G363)</f>
        <v>9.8178656730467957E-3</v>
      </c>
    </row>
    <row r="364" spans="1:8">
      <c r="A364" s="1">
        <v>18050</v>
      </c>
      <c r="B364">
        <v>346.21</v>
      </c>
      <c r="C364">
        <v>0</v>
      </c>
      <c r="D364">
        <v>10</v>
      </c>
      <c r="E364">
        <v>0</v>
      </c>
      <c r="G364">
        <f t="shared" si="5"/>
        <v>3.6000000000001365E-3</v>
      </c>
      <c r="H364">
        <f>SQRT($K$3/B364*G364)</f>
        <v>1.0099873866758783E-2</v>
      </c>
    </row>
    <row r="365" spans="1:8">
      <c r="A365" s="1">
        <v>18100</v>
      </c>
      <c r="B365">
        <v>346.38</v>
      </c>
      <c r="C365">
        <v>0</v>
      </c>
      <c r="D365">
        <v>10</v>
      </c>
      <c r="E365">
        <v>0</v>
      </c>
      <c r="G365">
        <f t="shared" si="5"/>
        <v>3.4000000000003181E-3</v>
      </c>
      <c r="H365">
        <f>SQRT($K$3/B365*G365)</f>
        <v>9.8129041835489355E-3</v>
      </c>
    </row>
    <row r="366" spans="1:8">
      <c r="A366" s="1">
        <v>18150</v>
      </c>
      <c r="B366">
        <v>346.56</v>
      </c>
      <c r="C366">
        <v>0</v>
      </c>
      <c r="D366">
        <v>10</v>
      </c>
      <c r="E366">
        <v>0</v>
      </c>
      <c r="G366">
        <f t="shared" si="5"/>
        <v>3.6000000000001365E-3</v>
      </c>
      <c r="H366">
        <f>SQRT($K$3/B366*G366)</f>
        <v>1.009477251516684E-2</v>
      </c>
    </row>
    <row r="367" spans="1:8">
      <c r="A367" s="1">
        <v>18200</v>
      </c>
      <c r="B367">
        <v>346.74</v>
      </c>
      <c r="C367">
        <v>0</v>
      </c>
      <c r="D367">
        <v>10</v>
      </c>
      <c r="E367">
        <v>0</v>
      </c>
      <c r="G367">
        <f t="shared" si="5"/>
        <v>3.6000000000001365E-3</v>
      </c>
      <c r="H367">
        <f>SQRT($K$3/B367*G367)</f>
        <v>1.0092151971052638E-2</v>
      </c>
    </row>
    <row r="368" spans="1:8">
      <c r="A368" s="1">
        <v>18250</v>
      </c>
      <c r="B368">
        <v>346.92</v>
      </c>
      <c r="C368">
        <v>0</v>
      </c>
      <c r="D368">
        <v>10</v>
      </c>
      <c r="E368">
        <v>0</v>
      </c>
      <c r="G368">
        <f t="shared" si="5"/>
        <v>3.6000000000001365E-3</v>
      </c>
      <c r="H368">
        <f>SQRT($K$3/B368*G368)</f>
        <v>1.0089533466713372E-2</v>
      </c>
    </row>
    <row r="369" spans="1:8">
      <c r="A369" s="1">
        <v>18300</v>
      </c>
      <c r="B369">
        <v>347.09</v>
      </c>
      <c r="C369">
        <v>0</v>
      </c>
      <c r="D369">
        <v>10</v>
      </c>
      <c r="E369">
        <v>0</v>
      </c>
      <c r="G369">
        <f t="shared" si="5"/>
        <v>3.3999999999991815E-3</v>
      </c>
      <c r="H369">
        <f>SQRT($K$3/B369*G369)</f>
        <v>9.8028625105098556E-3</v>
      </c>
    </row>
    <row r="370" spans="1:8">
      <c r="A370" s="1">
        <v>18350</v>
      </c>
      <c r="B370">
        <v>347.27</v>
      </c>
      <c r="C370">
        <v>0</v>
      </c>
      <c r="D370">
        <v>10</v>
      </c>
      <c r="E370">
        <v>0</v>
      </c>
      <c r="G370">
        <f t="shared" si="5"/>
        <v>3.6000000000001365E-3</v>
      </c>
      <c r="H370">
        <f>SQRT($K$3/B370*G370)</f>
        <v>1.0084447759718188E-2</v>
      </c>
    </row>
    <row r="371" spans="1:8">
      <c r="A371" s="1">
        <v>18400</v>
      </c>
      <c r="B371">
        <v>347.45</v>
      </c>
      <c r="C371">
        <v>0</v>
      </c>
      <c r="D371">
        <v>10</v>
      </c>
      <c r="E371">
        <v>0</v>
      </c>
      <c r="G371">
        <f t="shared" si="5"/>
        <v>3.6000000000001365E-3</v>
      </c>
      <c r="H371">
        <f>SQRT($K$3/B371*G371)</f>
        <v>1.0081835246042205E-2</v>
      </c>
    </row>
    <row r="372" spans="1:8">
      <c r="A372" s="1">
        <v>18450</v>
      </c>
      <c r="B372">
        <v>347.62</v>
      </c>
      <c r="C372">
        <v>0</v>
      </c>
      <c r="D372">
        <v>10</v>
      </c>
      <c r="E372">
        <v>0</v>
      </c>
      <c r="G372">
        <f t="shared" si="5"/>
        <v>3.4000000000003181E-3</v>
      </c>
      <c r="H372">
        <f>SQRT($K$3/B372*G372)</f>
        <v>9.7953866762926101E-3</v>
      </c>
    </row>
    <row r="373" spans="1:8">
      <c r="A373" s="1">
        <v>18500</v>
      </c>
      <c r="B373">
        <v>347.8</v>
      </c>
      <c r="C373">
        <v>0</v>
      </c>
      <c r="D373">
        <v>10</v>
      </c>
      <c r="E373">
        <v>0</v>
      </c>
      <c r="G373">
        <f t="shared" si="5"/>
        <v>3.6000000000001365E-3</v>
      </c>
      <c r="H373">
        <f>SQRT($K$3/B373*G373)</f>
        <v>1.0076761165358272E-2</v>
      </c>
    </row>
    <row r="374" spans="1:8">
      <c r="A374" s="1">
        <v>18550</v>
      </c>
      <c r="B374">
        <v>347.98</v>
      </c>
      <c r="C374">
        <v>0</v>
      </c>
      <c r="D374">
        <v>10</v>
      </c>
      <c r="E374">
        <v>0</v>
      </c>
      <c r="G374">
        <f t="shared" si="5"/>
        <v>3.6000000000001365E-3</v>
      </c>
      <c r="H374">
        <f>SQRT($K$3/B374*G374)</f>
        <v>1.0074154619537777E-2</v>
      </c>
    </row>
    <row r="375" spans="1:8">
      <c r="A375" s="1">
        <v>18600</v>
      </c>
      <c r="B375">
        <v>348.16</v>
      </c>
      <c r="C375">
        <v>0</v>
      </c>
      <c r="D375">
        <v>10</v>
      </c>
      <c r="E375">
        <v>0</v>
      </c>
      <c r="G375">
        <f t="shared" si="5"/>
        <v>3.6000000000001365E-3</v>
      </c>
      <c r="H375">
        <f>SQRT($K$3/B375*G375)</f>
        <v>1.0071550095369296E-2</v>
      </c>
    </row>
    <row r="376" spans="1:8">
      <c r="A376" s="1">
        <v>18650</v>
      </c>
      <c r="B376">
        <v>348.33</v>
      </c>
      <c r="C376">
        <v>0</v>
      </c>
      <c r="D376">
        <v>10</v>
      </c>
      <c r="E376">
        <v>0</v>
      </c>
      <c r="G376">
        <f t="shared" si="5"/>
        <v>3.3999999999991815E-3</v>
      </c>
      <c r="H376">
        <f>SQRT($K$3/B376*G376)</f>
        <v>9.7853986303214104E-3</v>
      </c>
    </row>
    <row r="377" spans="1:8">
      <c r="A377" s="1">
        <v>18700</v>
      </c>
      <c r="B377">
        <v>348.51</v>
      </c>
      <c r="C377">
        <v>0</v>
      </c>
      <c r="D377">
        <v>10</v>
      </c>
      <c r="E377">
        <v>0</v>
      </c>
      <c r="G377">
        <f t="shared" si="5"/>
        <v>3.6000000000001365E-3</v>
      </c>
      <c r="H377">
        <f>SQRT($K$3/B377*G377)</f>
        <v>1.0066491520283374E-2</v>
      </c>
    </row>
    <row r="378" spans="1:8">
      <c r="A378" s="1">
        <v>18750</v>
      </c>
      <c r="B378">
        <v>348.69</v>
      </c>
      <c r="C378">
        <v>0</v>
      </c>
      <c r="D378">
        <v>10</v>
      </c>
      <c r="E378">
        <v>0</v>
      </c>
      <c r="G378">
        <f t="shared" si="5"/>
        <v>3.6000000000001365E-3</v>
      </c>
      <c r="H378">
        <f>SQRT($K$3/B378*G378)</f>
        <v>1.0063892933606608E-2</v>
      </c>
    </row>
    <row r="379" spans="1:8">
      <c r="A379" s="1">
        <v>18800</v>
      </c>
      <c r="B379">
        <v>348.87</v>
      </c>
      <c r="C379">
        <v>0</v>
      </c>
      <c r="D379">
        <v>10</v>
      </c>
      <c r="E379">
        <v>0</v>
      </c>
      <c r="G379">
        <f t="shared" si="5"/>
        <v>3.6000000000001365E-3</v>
      </c>
      <c r="H379">
        <f>SQRT($K$3/B379*G379)</f>
        <v>1.0061296358306385E-2</v>
      </c>
    </row>
    <row r="380" spans="1:8">
      <c r="A380" s="1">
        <v>18850</v>
      </c>
      <c r="B380">
        <v>349.04</v>
      </c>
      <c r="C380">
        <v>0</v>
      </c>
      <c r="D380">
        <v>10</v>
      </c>
      <c r="E380">
        <v>0</v>
      </c>
      <c r="G380">
        <f t="shared" si="5"/>
        <v>3.4000000000003181E-3</v>
      </c>
      <c r="H380">
        <f>SQRT($K$3/B380*G380)</f>
        <v>9.7754410756603835E-3</v>
      </c>
    </row>
    <row r="381" spans="1:8">
      <c r="A381" s="1">
        <v>18900</v>
      </c>
      <c r="B381">
        <v>349.22</v>
      </c>
      <c r="C381">
        <v>0</v>
      </c>
      <c r="D381">
        <v>10</v>
      </c>
      <c r="E381">
        <v>0</v>
      </c>
      <c r="G381">
        <f t="shared" si="5"/>
        <v>3.6000000000001365E-3</v>
      </c>
      <c r="H381">
        <f>SQRT($K$3/B381*G381)</f>
        <v>1.0056253210007889E-2</v>
      </c>
    </row>
    <row r="382" spans="1:8">
      <c r="A382" s="1">
        <v>18950</v>
      </c>
      <c r="B382">
        <v>349.4</v>
      </c>
      <c r="C382">
        <v>0</v>
      </c>
      <c r="D382">
        <v>10</v>
      </c>
      <c r="E382">
        <v>0</v>
      </c>
      <c r="G382">
        <f t="shared" si="5"/>
        <v>3.5999999999989994E-3</v>
      </c>
      <c r="H382">
        <f>SQRT($K$3/B382*G382)</f>
        <v>1.0053662542049872E-2</v>
      </c>
    </row>
    <row r="383" spans="1:8">
      <c r="A383" s="1">
        <v>19000</v>
      </c>
      <c r="B383">
        <v>349.58</v>
      </c>
      <c r="C383">
        <v>0</v>
      </c>
      <c r="D383">
        <v>10</v>
      </c>
      <c r="E383">
        <v>0</v>
      </c>
      <c r="G383">
        <f t="shared" si="5"/>
        <v>3.6000000000001365E-3</v>
      </c>
      <c r="H383">
        <f>SQRT($K$3/B383*G383)</f>
        <v>1.0051073875269066E-2</v>
      </c>
    </row>
    <row r="384" spans="1:8">
      <c r="A384" s="1">
        <v>19050</v>
      </c>
      <c r="B384">
        <v>349.76</v>
      </c>
      <c r="C384">
        <v>0</v>
      </c>
      <c r="D384">
        <v>10</v>
      </c>
      <c r="E384">
        <v>0</v>
      </c>
      <c r="G384">
        <f t="shared" si="5"/>
        <v>3.6000000000001365E-3</v>
      </c>
      <c r="H384">
        <f>SQRT($K$3/B384*G384)</f>
        <v>1.0048487207085677E-2</v>
      </c>
    </row>
    <row r="385" spans="1:8">
      <c r="A385" s="1">
        <v>19100</v>
      </c>
      <c r="B385">
        <v>349.94</v>
      </c>
      <c r="C385">
        <v>0</v>
      </c>
      <c r="D385">
        <v>10</v>
      </c>
      <c r="E385">
        <v>0</v>
      </c>
      <c r="G385">
        <f t="shared" si="5"/>
        <v>3.6000000000001365E-3</v>
      </c>
      <c r="H385">
        <f>SQRT($K$3/B385*G385)</f>
        <v>1.0045902534930892E-2</v>
      </c>
    </row>
    <row r="386" spans="1:8">
      <c r="A386" s="1">
        <v>19150</v>
      </c>
      <c r="B386">
        <v>350.11</v>
      </c>
      <c r="C386">
        <v>0</v>
      </c>
      <c r="D386">
        <v>10</v>
      </c>
      <c r="E386">
        <v>0</v>
      </c>
      <c r="G386">
        <f t="shared" si="5"/>
        <v>3.4000000000003181E-3</v>
      </c>
      <c r="H386">
        <f>SQRT($K$3/B386*G386)</f>
        <v>9.7604918798493961E-3</v>
      </c>
    </row>
    <row r="387" spans="1:8">
      <c r="A387" s="1">
        <v>19200</v>
      </c>
      <c r="B387">
        <v>350.29</v>
      </c>
      <c r="C387">
        <v>0</v>
      </c>
      <c r="D387">
        <v>10</v>
      </c>
      <c r="E387">
        <v>0</v>
      </c>
      <c r="G387">
        <f t="shared" si="5"/>
        <v>3.6000000000001365E-3</v>
      </c>
      <c r="H387">
        <f>SQRT($K$3/B387*G387)</f>
        <v>1.0040882487805613E-2</v>
      </c>
    </row>
    <row r="388" spans="1:8">
      <c r="A388" s="1">
        <v>19250</v>
      </c>
      <c r="B388">
        <v>350.47</v>
      </c>
      <c r="C388">
        <v>0</v>
      </c>
      <c r="D388">
        <v>10</v>
      </c>
      <c r="E388">
        <v>0</v>
      </c>
      <c r="G388">
        <f t="shared" si="5"/>
        <v>3.6000000000001365E-3</v>
      </c>
      <c r="H388">
        <f>SQRT($K$3/B388*G388)</f>
        <v>1.0038303677963831E-2</v>
      </c>
    </row>
    <row r="389" spans="1:8">
      <c r="A389" s="1">
        <v>19300</v>
      </c>
      <c r="B389">
        <v>350.65</v>
      </c>
      <c r="C389">
        <v>0</v>
      </c>
      <c r="D389">
        <v>10</v>
      </c>
      <c r="E389">
        <v>0</v>
      </c>
      <c r="G389">
        <f t="shared" ref="G389:G452" si="6">(B389-B388)/(A389-A388)</f>
        <v>3.5999999999989994E-3</v>
      </c>
      <c r="H389">
        <f>SQRT($K$3/B389*G389)</f>
        <v>1.003572685405528E-2</v>
      </c>
    </row>
    <row r="390" spans="1:8">
      <c r="A390" s="1">
        <v>19350</v>
      </c>
      <c r="B390">
        <v>350.83</v>
      </c>
      <c r="C390">
        <v>0</v>
      </c>
      <c r="D390">
        <v>10</v>
      </c>
      <c r="E390">
        <v>0</v>
      </c>
      <c r="G390">
        <f t="shared" si="6"/>
        <v>3.6000000000001365E-3</v>
      </c>
      <c r="H390">
        <f>SQRT($K$3/B390*G390)</f>
        <v>1.0033152013537085E-2</v>
      </c>
    </row>
    <row r="391" spans="1:8">
      <c r="A391" s="1">
        <v>19400</v>
      </c>
      <c r="B391">
        <v>351.01</v>
      </c>
      <c r="C391">
        <v>0</v>
      </c>
      <c r="D391">
        <v>10</v>
      </c>
      <c r="E391">
        <v>0</v>
      </c>
      <c r="G391">
        <f t="shared" si="6"/>
        <v>3.6000000000001365E-3</v>
      </c>
      <c r="H391">
        <f>SQRT($K$3/B391*G391)</f>
        <v>1.0030579153861434E-2</v>
      </c>
    </row>
    <row r="392" spans="1:8">
      <c r="A392" s="1">
        <v>19450</v>
      </c>
      <c r="B392">
        <v>351.19</v>
      </c>
      <c r="C392">
        <v>0</v>
      </c>
      <c r="D392">
        <v>10</v>
      </c>
      <c r="E392">
        <v>0</v>
      </c>
      <c r="G392">
        <f t="shared" si="6"/>
        <v>3.6000000000001365E-3</v>
      </c>
      <c r="H392">
        <f>SQRT($K$3/B392*G392)</f>
        <v>1.0028008272491415E-2</v>
      </c>
    </row>
    <row r="393" spans="1:8">
      <c r="A393" s="1">
        <v>19500</v>
      </c>
      <c r="B393">
        <v>351.37</v>
      </c>
      <c r="C393">
        <v>0</v>
      </c>
      <c r="D393">
        <v>10</v>
      </c>
      <c r="E393">
        <v>0</v>
      </c>
      <c r="G393">
        <f t="shared" si="6"/>
        <v>3.6000000000001365E-3</v>
      </c>
      <c r="H393">
        <f>SQRT($K$3/B393*G393)</f>
        <v>1.0025439366893086E-2</v>
      </c>
    </row>
    <row r="394" spans="1:8">
      <c r="A394" s="1">
        <v>19550</v>
      </c>
      <c r="B394">
        <v>351.55</v>
      </c>
      <c r="C394">
        <v>0</v>
      </c>
      <c r="D394">
        <v>10</v>
      </c>
      <c r="E394">
        <v>0</v>
      </c>
      <c r="G394">
        <f t="shared" si="6"/>
        <v>3.6000000000001365E-3</v>
      </c>
      <c r="H394">
        <f>SQRT($K$3/B394*G394)</f>
        <v>1.0022872434537044E-2</v>
      </c>
    </row>
    <row r="395" spans="1:8">
      <c r="A395" s="1">
        <v>19600</v>
      </c>
      <c r="B395">
        <v>351.72</v>
      </c>
      <c r="C395">
        <v>0</v>
      </c>
      <c r="D395">
        <v>10</v>
      </c>
      <c r="E395">
        <v>0</v>
      </c>
      <c r="G395">
        <f t="shared" si="6"/>
        <v>3.4000000000003181E-3</v>
      </c>
      <c r="H395">
        <f>SQRT($K$3/B395*G395)</f>
        <v>9.7381269071722988E-3</v>
      </c>
    </row>
    <row r="396" spans="1:8">
      <c r="A396" s="1">
        <v>19650</v>
      </c>
      <c r="B396">
        <v>351.9</v>
      </c>
      <c r="C396">
        <v>0</v>
      </c>
      <c r="D396">
        <v>10</v>
      </c>
      <c r="E396">
        <v>0</v>
      </c>
      <c r="G396">
        <f t="shared" si="6"/>
        <v>3.5999999999989994E-3</v>
      </c>
      <c r="H396">
        <f>SQRT($K$3/B396*G396)</f>
        <v>1.0017886816387813E-2</v>
      </c>
    </row>
    <row r="397" spans="1:8">
      <c r="A397" s="1">
        <v>19700</v>
      </c>
      <c r="B397">
        <v>352.08</v>
      </c>
      <c r="C397">
        <v>0</v>
      </c>
      <c r="D397">
        <v>10</v>
      </c>
      <c r="E397">
        <v>0</v>
      </c>
      <c r="G397">
        <f t="shared" si="6"/>
        <v>3.6000000000001365E-3</v>
      </c>
      <c r="H397">
        <f>SQRT($K$3/B397*G397)</f>
        <v>1.0015325679490482E-2</v>
      </c>
    </row>
    <row r="398" spans="1:8">
      <c r="A398" s="1">
        <v>19750</v>
      </c>
      <c r="B398">
        <v>352.26</v>
      </c>
      <c r="C398">
        <v>0</v>
      </c>
      <c r="D398">
        <v>10</v>
      </c>
      <c r="E398">
        <v>0</v>
      </c>
      <c r="G398">
        <f t="shared" si="6"/>
        <v>3.6000000000001365E-3</v>
      </c>
      <c r="H398">
        <f>SQRT($K$3/B398*G398)</f>
        <v>1.0012766505900857E-2</v>
      </c>
    </row>
    <row r="399" spans="1:8">
      <c r="A399" s="1">
        <v>19800</v>
      </c>
      <c r="B399">
        <v>352.44</v>
      </c>
      <c r="C399">
        <v>0</v>
      </c>
      <c r="D399">
        <v>10</v>
      </c>
      <c r="E399">
        <v>0</v>
      </c>
      <c r="G399">
        <f t="shared" si="6"/>
        <v>3.6000000000001365E-3</v>
      </c>
      <c r="H399">
        <f>SQRT($K$3/B399*G399)</f>
        <v>1.0010209293113423E-2</v>
      </c>
    </row>
    <row r="400" spans="1:8">
      <c r="A400" s="1">
        <v>19850</v>
      </c>
      <c r="B400">
        <v>352.62</v>
      </c>
      <c r="C400">
        <v>0</v>
      </c>
      <c r="D400">
        <v>10</v>
      </c>
      <c r="E400">
        <v>0</v>
      </c>
      <c r="G400">
        <f t="shared" si="6"/>
        <v>3.6000000000001365E-3</v>
      </c>
      <c r="H400">
        <f>SQRT($K$3/B400*G400)</f>
        <v>1.0007654038625562E-2</v>
      </c>
    </row>
    <row r="401" spans="1:8">
      <c r="A401" s="1">
        <v>19900</v>
      </c>
      <c r="B401">
        <v>352.8</v>
      </c>
      <c r="C401">
        <v>0</v>
      </c>
      <c r="D401">
        <v>10</v>
      </c>
      <c r="E401">
        <v>0</v>
      </c>
      <c r="G401">
        <f t="shared" si="6"/>
        <v>3.6000000000001365E-3</v>
      </c>
      <c r="H401">
        <f>SQRT($K$3/B401*G401)</f>
        <v>1.000510073993912E-2</v>
      </c>
    </row>
    <row r="402" spans="1:8">
      <c r="A402" s="1">
        <v>19950</v>
      </c>
      <c r="B402">
        <v>352.98</v>
      </c>
      <c r="C402">
        <v>0</v>
      </c>
      <c r="D402">
        <v>10</v>
      </c>
      <c r="E402">
        <v>0</v>
      </c>
      <c r="G402">
        <f t="shared" si="6"/>
        <v>3.6000000000001365E-3</v>
      </c>
      <c r="H402">
        <f>SQRT($K$3/B402*G402)</f>
        <v>1.000254939456041E-2</v>
      </c>
    </row>
    <row r="403" spans="1:8">
      <c r="A403" s="1">
        <v>20000</v>
      </c>
      <c r="B403">
        <v>353.16</v>
      </c>
      <c r="C403">
        <v>0</v>
      </c>
      <c r="D403">
        <v>10</v>
      </c>
      <c r="E403">
        <v>0</v>
      </c>
      <c r="G403">
        <f t="shared" si="6"/>
        <v>3.6000000000001365E-3</v>
      </c>
      <c r="H403">
        <f>SQRT($K$3/B403*G403)</f>
        <v>1.0000000000000189E-2</v>
      </c>
    </row>
    <row r="404" spans="1:8">
      <c r="A404" s="1">
        <v>20050</v>
      </c>
      <c r="B404">
        <v>353.34</v>
      </c>
      <c r="C404">
        <v>0</v>
      </c>
      <c r="D404">
        <v>10</v>
      </c>
      <c r="E404">
        <v>0</v>
      </c>
      <c r="G404">
        <f t="shared" si="6"/>
        <v>3.5999999999989994E-3</v>
      </c>
      <c r="H404">
        <f>SQRT($K$3/B404*G404)</f>
        <v>9.9974525537720772E-3</v>
      </c>
    </row>
    <row r="405" spans="1:8">
      <c r="A405" s="1">
        <v>20100</v>
      </c>
      <c r="B405">
        <v>353.52</v>
      </c>
      <c r="C405">
        <v>0</v>
      </c>
      <c r="D405">
        <v>10</v>
      </c>
      <c r="E405">
        <v>0</v>
      </c>
      <c r="G405">
        <f t="shared" si="6"/>
        <v>3.6000000000001365E-3</v>
      </c>
      <c r="H405">
        <f>SQRT($K$3/B405*G405)</f>
        <v>9.9949070534004359E-3</v>
      </c>
    </row>
    <row r="406" spans="1:8">
      <c r="A406" s="1">
        <v>20150</v>
      </c>
      <c r="B406">
        <v>353.7</v>
      </c>
      <c r="C406">
        <v>0</v>
      </c>
      <c r="D406">
        <v>10</v>
      </c>
      <c r="E406">
        <v>0</v>
      </c>
      <c r="G406">
        <f t="shared" si="6"/>
        <v>3.6000000000001365E-3</v>
      </c>
      <c r="H406">
        <f>SQRT($K$3/B406*G406)</f>
        <v>9.9923634964045709E-3</v>
      </c>
    </row>
    <row r="407" spans="1:8">
      <c r="A407" s="1">
        <v>20200</v>
      </c>
      <c r="B407">
        <v>353.88</v>
      </c>
      <c r="C407">
        <v>0</v>
      </c>
      <c r="D407">
        <v>10</v>
      </c>
      <c r="E407">
        <v>0</v>
      </c>
      <c r="G407">
        <f t="shared" si="6"/>
        <v>3.6000000000001365E-3</v>
      </c>
      <c r="H407">
        <f>SQRT($K$3/B407*G407)</f>
        <v>9.9898218803145186E-3</v>
      </c>
    </row>
    <row r="408" spans="1:8">
      <c r="A408" s="1">
        <v>20250</v>
      </c>
      <c r="B408">
        <v>354.06</v>
      </c>
      <c r="C408">
        <v>0</v>
      </c>
      <c r="D408">
        <v>10</v>
      </c>
      <c r="E408">
        <v>0</v>
      </c>
      <c r="G408">
        <f t="shared" si="6"/>
        <v>3.6000000000001365E-3</v>
      </c>
      <c r="H408">
        <f>SQRT($K$3/B408*G408)</f>
        <v>9.987282202663126E-3</v>
      </c>
    </row>
    <row r="409" spans="1:8">
      <c r="A409" s="1">
        <v>20300</v>
      </c>
      <c r="B409">
        <v>354.24</v>
      </c>
      <c r="C409">
        <v>0</v>
      </c>
      <c r="D409">
        <v>10</v>
      </c>
      <c r="E409">
        <v>0</v>
      </c>
      <c r="G409">
        <f t="shared" si="6"/>
        <v>3.6000000000001365E-3</v>
      </c>
      <c r="H409">
        <f>SQRT($K$3/B409*G409)</f>
        <v>9.9847444609876372E-3</v>
      </c>
    </row>
    <row r="410" spans="1:8">
      <c r="A410" s="1">
        <v>20350</v>
      </c>
      <c r="B410">
        <v>354.43</v>
      </c>
      <c r="C410">
        <v>0</v>
      </c>
      <c r="D410">
        <v>10</v>
      </c>
      <c r="E410">
        <v>0</v>
      </c>
      <c r="G410">
        <f t="shared" si="6"/>
        <v>3.7999999999999545E-3</v>
      </c>
      <c r="H410">
        <f>SQRT($K$3/B410*G410)</f>
        <v>1.0255599786248789E-2</v>
      </c>
    </row>
    <row r="411" spans="1:8">
      <c r="A411" s="1">
        <v>20400</v>
      </c>
      <c r="B411">
        <v>354.61</v>
      </c>
      <c r="C411">
        <v>0</v>
      </c>
      <c r="D411">
        <v>10</v>
      </c>
      <c r="E411">
        <v>0</v>
      </c>
      <c r="G411">
        <f t="shared" si="6"/>
        <v>3.6000000000001365E-3</v>
      </c>
      <c r="H411">
        <f>SQRT($K$3/B411*G411)</f>
        <v>9.9795340613569612E-3</v>
      </c>
    </row>
    <row r="412" spans="1:8">
      <c r="A412" s="1">
        <v>20450</v>
      </c>
      <c r="B412">
        <v>354.79</v>
      </c>
      <c r="C412">
        <v>0</v>
      </c>
      <c r="D412">
        <v>10</v>
      </c>
      <c r="E412">
        <v>0</v>
      </c>
      <c r="G412">
        <f t="shared" si="6"/>
        <v>3.6000000000001365E-3</v>
      </c>
      <c r="H412">
        <f>SQRT($K$3/B412*G412)</f>
        <v>9.9770022199498192E-3</v>
      </c>
    </row>
    <row r="413" spans="1:8">
      <c r="A413" s="1">
        <v>20500</v>
      </c>
      <c r="B413">
        <v>354.97</v>
      </c>
      <c r="C413">
        <v>0</v>
      </c>
      <c r="D413">
        <v>10</v>
      </c>
      <c r="E413">
        <v>0</v>
      </c>
      <c r="G413">
        <f t="shared" si="6"/>
        <v>3.6000000000001365E-3</v>
      </c>
      <c r="H413">
        <f>SQRT($K$3/B413*G413)</f>
        <v>9.9744723045754966E-3</v>
      </c>
    </row>
    <row r="414" spans="1:8">
      <c r="A414" s="1">
        <v>20550</v>
      </c>
      <c r="B414">
        <v>355.15</v>
      </c>
      <c r="C414">
        <v>0</v>
      </c>
      <c r="D414">
        <v>10</v>
      </c>
      <c r="E414">
        <v>0</v>
      </c>
      <c r="G414">
        <f t="shared" si="6"/>
        <v>3.5999999999989994E-3</v>
      </c>
      <c r="H414">
        <f>SQRT($K$3/B414*G414)</f>
        <v>9.9719443127916901E-3</v>
      </c>
    </row>
    <row r="415" spans="1:8">
      <c r="A415" s="1">
        <v>20600</v>
      </c>
      <c r="B415">
        <v>355.33</v>
      </c>
      <c r="C415">
        <v>0</v>
      </c>
      <c r="D415">
        <v>10</v>
      </c>
      <c r="E415">
        <v>0</v>
      </c>
      <c r="G415">
        <f t="shared" si="6"/>
        <v>3.6000000000001365E-3</v>
      </c>
      <c r="H415">
        <f>SQRT($K$3/B415*G415)</f>
        <v>9.9694182421667232E-3</v>
      </c>
    </row>
    <row r="416" spans="1:8">
      <c r="A416" s="1">
        <v>20650</v>
      </c>
      <c r="B416">
        <v>355.51</v>
      </c>
      <c r="C416">
        <v>0</v>
      </c>
      <c r="D416">
        <v>10</v>
      </c>
      <c r="E416">
        <v>0</v>
      </c>
      <c r="G416">
        <f t="shared" si="6"/>
        <v>3.6000000000001365E-3</v>
      </c>
      <c r="H416">
        <f>SQRT($K$3/B416*G416)</f>
        <v>9.9668940902637882E-3</v>
      </c>
    </row>
    <row r="417" spans="1:8">
      <c r="A417" s="1">
        <v>20700</v>
      </c>
      <c r="B417">
        <v>355.69</v>
      </c>
      <c r="C417">
        <v>0</v>
      </c>
      <c r="D417">
        <v>10</v>
      </c>
      <c r="E417">
        <v>0</v>
      </c>
      <c r="G417">
        <f t="shared" si="6"/>
        <v>3.6000000000001365E-3</v>
      </c>
      <c r="H417">
        <f>SQRT($K$3/B417*G417)</f>
        <v>9.9643718546566888E-3</v>
      </c>
    </row>
    <row r="418" spans="1:8">
      <c r="A418" s="1">
        <v>20750</v>
      </c>
      <c r="B418">
        <v>355.87</v>
      </c>
      <c r="C418">
        <v>0</v>
      </c>
      <c r="D418">
        <v>10</v>
      </c>
      <c r="E418">
        <v>0</v>
      </c>
      <c r="G418">
        <f t="shared" si="6"/>
        <v>3.6000000000001365E-3</v>
      </c>
      <c r="H418">
        <f>SQRT($K$3/B418*G418)</f>
        <v>9.9618515329219486E-3</v>
      </c>
    </row>
    <row r="419" spans="1:8">
      <c r="A419" s="1">
        <v>20800</v>
      </c>
      <c r="B419">
        <v>356.06</v>
      </c>
      <c r="C419">
        <v>0</v>
      </c>
      <c r="D419">
        <v>10</v>
      </c>
      <c r="E419">
        <v>0</v>
      </c>
      <c r="G419">
        <f t="shared" si="6"/>
        <v>3.7999999999999545E-3</v>
      </c>
      <c r="H419">
        <f>SQRT($K$3/B419*G419)</f>
        <v>1.0232098405515271E-2</v>
      </c>
    </row>
    <row r="420" spans="1:8">
      <c r="A420" s="1">
        <v>20850</v>
      </c>
      <c r="B420">
        <v>356.24</v>
      </c>
      <c r="C420">
        <v>0</v>
      </c>
      <c r="D420">
        <v>10</v>
      </c>
      <c r="E420">
        <v>0</v>
      </c>
      <c r="G420">
        <f t="shared" si="6"/>
        <v>3.6000000000001365E-3</v>
      </c>
      <c r="H420">
        <f>SQRT($K$3/B420*G420)</f>
        <v>9.9566768716988843E-3</v>
      </c>
    </row>
    <row r="421" spans="1:8">
      <c r="A421" s="1">
        <v>20900</v>
      </c>
      <c r="B421">
        <v>356.42</v>
      </c>
      <c r="C421">
        <v>0</v>
      </c>
      <c r="D421">
        <v>10</v>
      </c>
      <c r="E421">
        <v>0</v>
      </c>
      <c r="G421">
        <f t="shared" si="6"/>
        <v>3.6000000000001365E-3</v>
      </c>
      <c r="H421">
        <f>SQRT($K$3/B421*G421)</f>
        <v>9.9541623829363657E-3</v>
      </c>
    </row>
    <row r="422" spans="1:8">
      <c r="A422" s="1">
        <v>20950</v>
      </c>
      <c r="B422">
        <v>356.6</v>
      </c>
      <c r="C422">
        <v>0</v>
      </c>
      <c r="D422">
        <v>10</v>
      </c>
      <c r="E422">
        <v>0</v>
      </c>
      <c r="G422">
        <f t="shared" si="6"/>
        <v>3.6000000000001365E-3</v>
      </c>
      <c r="H422">
        <f>SQRT($K$3/B422*G422)</f>
        <v>9.9516497982615297E-3</v>
      </c>
    </row>
    <row r="423" spans="1:8">
      <c r="A423" s="1">
        <v>21000</v>
      </c>
      <c r="B423">
        <v>356.78</v>
      </c>
      <c r="C423">
        <v>0</v>
      </c>
      <c r="D423">
        <v>10</v>
      </c>
      <c r="E423">
        <v>0</v>
      </c>
      <c r="G423">
        <f t="shared" si="6"/>
        <v>3.5999999999989994E-3</v>
      </c>
      <c r="H423">
        <f>SQRT($K$3/B423*G423)</f>
        <v>9.9491391152709135E-3</v>
      </c>
    </row>
    <row r="424" spans="1:8">
      <c r="A424" s="1">
        <v>21050</v>
      </c>
      <c r="B424">
        <v>356.96</v>
      </c>
      <c r="C424">
        <v>0</v>
      </c>
      <c r="D424">
        <v>10</v>
      </c>
      <c r="E424">
        <v>0</v>
      </c>
      <c r="G424">
        <f t="shared" si="6"/>
        <v>3.6000000000001365E-3</v>
      </c>
      <c r="H424">
        <f>SQRT($K$3/B424*G424)</f>
        <v>9.9466303315715755E-3</v>
      </c>
    </row>
    <row r="425" spans="1:8">
      <c r="A425" s="1">
        <v>21100</v>
      </c>
      <c r="B425">
        <v>357.15</v>
      </c>
      <c r="C425">
        <v>0</v>
      </c>
      <c r="D425">
        <v>10</v>
      </c>
      <c r="E425">
        <v>0</v>
      </c>
      <c r="G425">
        <f t="shared" si="6"/>
        <v>3.7999999999999545E-3</v>
      </c>
      <c r="H425">
        <f>SQRT($K$3/B425*G425)</f>
        <v>1.0216472604267546E-2</v>
      </c>
    </row>
    <row r="426" spans="1:8">
      <c r="A426" s="1">
        <v>21150</v>
      </c>
      <c r="B426">
        <v>357.33</v>
      </c>
      <c r="C426">
        <v>0</v>
      </c>
      <c r="D426">
        <v>10</v>
      </c>
      <c r="E426">
        <v>0</v>
      </c>
      <c r="G426">
        <f t="shared" si="6"/>
        <v>3.6000000000001365E-3</v>
      </c>
      <c r="H426">
        <f>SQRT($K$3/B426*G426)</f>
        <v>9.9414793417265997E-3</v>
      </c>
    </row>
    <row r="427" spans="1:8">
      <c r="A427" s="1">
        <v>21200</v>
      </c>
      <c r="B427">
        <v>357.51</v>
      </c>
      <c r="C427">
        <v>0</v>
      </c>
      <c r="D427">
        <v>10</v>
      </c>
      <c r="E427">
        <v>0</v>
      </c>
      <c r="G427">
        <f t="shared" si="6"/>
        <v>3.6000000000001365E-3</v>
      </c>
      <c r="H427">
        <f>SQRT($K$3/B427*G427)</f>
        <v>9.9389763465943855E-3</v>
      </c>
    </row>
    <row r="428" spans="1:8">
      <c r="A428" s="1">
        <v>21250</v>
      </c>
      <c r="B428">
        <v>357.69</v>
      </c>
      <c r="C428">
        <v>0</v>
      </c>
      <c r="D428">
        <v>10</v>
      </c>
      <c r="E428">
        <v>0</v>
      </c>
      <c r="G428">
        <f t="shared" si="6"/>
        <v>3.6000000000001365E-3</v>
      </c>
      <c r="H428">
        <f>SQRT($K$3/B428*G428)</f>
        <v>9.9364752410697546E-3</v>
      </c>
    </row>
    <row r="429" spans="1:8">
      <c r="A429" s="1">
        <v>21300</v>
      </c>
      <c r="B429">
        <v>357.88</v>
      </c>
      <c r="C429">
        <v>0</v>
      </c>
      <c r="D429">
        <v>10</v>
      </c>
      <c r="E429">
        <v>0</v>
      </c>
      <c r="G429">
        <f t="shared" si="6"/>
        <v>3.7999999999999545E-3</v>
      </c>
      <c r="H429">
        <f>SQRT($K$3/B429*G429)</f>
        <v>1.0206047556645574E-2</v>
      </c>
    </row>
    <row r="430" spans="1:8">
      <c r="A430" s="1">
        <v>21350</v>
      </c>
      <c r="B430">
        <v>358.06</v>
      </c>
      <c r="C430">
        <v>0</v>
      </c>
      <c r="D430">
        <v>10</v>
      </c>
      <c r="E430">
        <v>0</v>
      </c>
      <c r="G430">
        <f t="shared" si="6"/>
        <v>3.6000000000001365E-3</v>
      </c>
      <c r="H430">
        <f>SQRT($K$3/B430*G430)</f>
        <v>9.9313400038139321E-3</v>
      </c>
    </row>
    <row r="431" spans="1:8">
      <c r="A431" s="1">
        <v>21400</v>
      </c>
      <c r="B431">
        <v>358.24</v>
      </c>
      <c r="C431">
        <v>0</v>
      </c>
      <c r="D431">
        <v>10</v>
      </c>
      <c r="E431">
        <v>0</v>
      </c>
      <c r="G431">
        <f t="shared" si="6"/>
        <v>3.6000000000001365E-3</v>
      </c>
      <c r="H431">
        <f>SQRT($K$3/B431*G431)</f>
        <v>9.9288446573840491E-3</v>
      </c>
    </row>
    <row r="432" spans="1:8">
      <c r="A432" s="1">
        <v>21450</v>
      </c>
      <c r="B432">
        <v>358.42</v>
      </c>
      <c r="C432">
        <v>0</v>
      </c>
      <c r="D432">
        <v>10</v>
      </c>
      <c r="E432">
        <v>0</v>
      </c>
      <c r="G432">
        <f t="shared" si="6"/>
        <v>3.6000000000001365E-3</v>
      </c>
      <c r="H432">
        <f>SQRT($K$3/B432*G432)</f>
        <v>9.9263511909501289E-3</v>
      </c>
    </row>
    <row r="433" spans="1:8">
      <c r="A433" s="1">
        <v>21500</v>
      </c>
      <c r="B433">
        <v>358.61</v>
      </c>
      <c r="C433">
        <v>0</v>
      </c>
      <c r="D433">
        <v>10</v>
      </c>
      <c r="E433">
        <v>0</v>
      </c>
      <c r="G433">
        <f t="shared" si="6"/>
        <v>3.7999999999999545E-3</v>
      </c>
      <c r="H433">
        <f>SQRT($K$3/B433*G433)</f>
        <v>1.0195654357673851E-2</v>
      </c>
    </row>
    <row r="434" spans="1:8">
      <c r="A434" s="1">
        <v>21550</v>
      </c>
      <c r="B434">
        <v>358.79</v>
      </c>
      <c r="C434">
        <v>0</v>
      </c>
      <c r="D434">
        <v>10</v>
      </c>
      <c r="E434">
        <v>0</v>
      </c>
      <c r="G434">
        <f t="shared" si="6"/>
        <v>3.6000000000001365E-3</v>
      </c>
      <c r="H434">
        <f>SQRT($K$3/B434*G434)</f>
        <v>9.9212316261567384E-3</v>
      </c>
    </row>
    <row r="435" spans="1:8">
      <c r="A435" s="1">
        <v>21600</v>
      </c>
      <c r="B435">
        <v>358.97</v>
      </c>
      <c r="C435">
        <v>0</v>
      </c>
      <c r="D435">
        <v>10</v>
      </c>
      <c r="E435">
        <v>0</v>
      </c>
      <c r="G435">
        <f t="shared" si="6"/>
        <v>3.6000000000001365E-3</v>
      </c>
      <c r="H435">
        <f>SQRT($K$3/B435*G435)</f>
        <v>9.9187438895532946E-3</v>
      </c>
    </row>
    <row r="436" spans="1:8">
      <c r="A436" s="1">
        <v>21650</v>
      </c>
      <c r="B436">
        <v>359.16</v>
      </c>
      <c r="C436">
        <v>0</v>
      </c>
      <c r="D436">
        <v>10</v>
      </c>
      <c r="E436">
        <v>0</v>
      </c>
      <c r="G436">
        <f t="shared" si="6"/>
        <v>3.7999999999999545E-3</v>
      </c>
      <c r="H436">
        <f>SQRT($K$3/B436*G436)</f>
        <v>1.0187844804345656E-2</v>
      </c>
    </row>
    <row r="437" spans="1:8">
      <c r="A437" s="1">
        <v>21700</v>
      </c>
      <c r="B437">
        <v>359.34</v>
      </c>
      <c r="C437">
        <v>0</v>
      </c>
      <c r="D437">
        <v>10</v>
      </c>
      <c r="E437">
        <v>0</v>
      </c>
      <c r="G437">
        <f t="shared" si="6"/>
        <v>3.5999999999989994E-3</v>
      </c>
      <c r="H437">
        <f>SQRT($K$3/B437*G437)</f>
        <v>9.913636080196752E-3</v>
      </c>
    </row>
    <row r="438" spans="1:8">
      <c r="A438" s="1">
        <v>21750</v>
      </c>
      <c r="B438">
        <v>359.52</v>
      </c>
      <c r="C438">
        <v>0</v>
      </c>
      <c r="D438">
        <v>10</v>
      </c>
      <c r="E438">
        <v>0</v>
      </c>
      <c r="G438">
        <f t="shared" si="6"/>
        <v>3.6000000000001365E-3</v>
      </c>
      <c r="H438">
        <f>SQRT($K$3/B438*G438)</f>
        <v>9.91115405151426E-3</v>
      </c>
    </row>
    <row r="439" spans="1:8">
      <c r="A439" s="1">
        <v>21800</v>
      </c>
      <c r="B439">
        <v>359.71</v>
      </c>
      <c r="C439">
        <v>0</v>
      </c>
      <c r="D439">
        <v>10</v>
      </c>
      <c r="E439">
        <v>0</v>
      </c>
      <c r="G439">
        <f t="shared" si="6"/>
        <v>3.7999999999999545E-3</v>
      </c>
      <c r="H439">
        <f>SQRT($K$3/B439*G439)</f>
        <v>1.0180053169192706E-2</v>
      </c>
    </row>
    <row r="440" spans="1:8">
      <c r="A440" s="1">
        <v>21850</v>
      </c>
      <c r="B440">
        <v>359.89</v>
      </c>
      <c r="C440">
        <v>0</v>
      </c>
      <c r="D440">
        <v>10</v>
      </c>
      <c r="E440">
        <v>0</v>
      </c>
      <c r="G440">
        <f t="shared" si="6"/>
        <v>3.6000000000001365E-3</v>
      </c>
      <c r="H440">
        <f>SQRT($K$3/B440*G440)</f>
        <v>9.9060579526788033E-3</v>
      </c>
    </row>
    <row r="441" spans="1:8">
      <c r="A441" s="1">
        <v>21900</v>
      </c>
      <c r="B441">
        <v>360.07</v>
      </c>
      <c r="C441">
        <v>0</v>
      </c>
      <c r="D441">
        <v>10</v>
      </c>
      <c r="E441">
        <v>0</v>
      </c>
      <c r="G441">
        <f t="shared" si="6"/>
        <v>3.6000000000001365E-3</v>
      </c>
      <c r="H441">
        <f>SQRT($K$3/B441*G441)</f>
        <v>9.9035816101201712E-3</v>
      </c>
    </row>
    <row r="442" spans="1:8">
      <c r="A442" s="1">
        <v>21950</v>
      </c>
      <c r="B442">
        <v>360.26</v>
      </c>
      <c r="C442">
        <v>0</v>
      </c>
      <c r="D442">
        <v>10</v>
      </c>
      <c r="E442">
        <v>0</v>
      </c>
      <c r="G442">
        <f t="shared" si="6"/>
        <v>3.7999999999999545E-3</v>
      </c>
      <c r="H442">
        <f>SQRT($K$3/B442*G442)</f>
        <v>1.017227938380078E-2</v>
      </c>
    </row>
    <row r="443" spans="1:8">
      <c r="A443" s="1">
        <v>22000</v>
      </c>
      <c r="B443">
        <v>360.44</v>
      </c>
      <c r="C443">
        <v>0</v>
      </c>
      <c r="D443">
        <v>10</v>
      </c>
      <c r="E443">
        <v>0</v>
      </c>
      <c r="G443">
        <f t="shared" si="6"/>
        <v>3.6000000000001365E-3</v>
      </c>
      <c r="H443">
        <f>SQRT($K$3/B443*G443)</f>
        <v>9.8984971771252702E-3</v>
      </c>
    </row>
    <row r="444" spans="1:8">
      <c r="A444" s="1">
        <v>22050</v>
      </c>
      <c r="B444">
        <v>360.62</v>
      </c>
      <c r="C444">
        <v>0</v>
      </c>
      <c r="D444">
        <v>10</v>
      </c>
      <c r="E444">
        <v>0</v>
      </c>
      <c r="G444">
        <f t="shared" si="6"/>
        <v>3.6000000000001365E-3</v>
      </c>
      <c r="H444">
        <f>SQRT($K$3/B444*G444)</f>
        <v>9.896026499014424E-3</v>
      </c>
    </row>
    <row r="445" spans="1:8">
      <c r="A445" s="1">
        <v>22100</v>
      </c>
      <c r="B445">
        <v>360.81</v>
      </c>
      <c r="C445">
        <v>0</v>
      </c>
      <c r="D445">
        <v>10</v>
      </c>
      <c r="E445">
        <v>0</v>
      </c>
      <c r="G445">
        <f t="shared" si="6"/>
        <v>3.7999999999999545E-3</v>
      </c>
      <c r="H445">
        <f>SQRT($K$3/B445*G445)</f>
        <v>1.0164523380120805E-2</v>
      </c>
    </row>
    <row r="446" spans="1:8">
      <c r="A446" s="1">
        <v>22150</v>
      </c>
      <c r="B446">
        <v>360.99</v>
      </c>
      <c r="C446">
        <v>0</v>
      </c>
      <c r="D446">
        <v>10</v>
      </c>
      <c r="E446">
        <v>0</v>
      </c>
      <c r="G446">
        <f t="shared" si="6"/>
        <v>3.6000000000001365E-3</v>
      </c>
      <c r="H446">
        <f>SQRT($K$3/B446*G446)</f>
        <v>9.8909536874193967E-3</v>
      </c>
    </row>
    <row r="447" spans="1:8">
      <c r="A447" s="1">
        <v>22200</v>
      </c>
      <c r="B447">
        <v>361.18</v>
      </c>
      <c r="C447">
        <v>0</v>
      </c>
      <c r="D447">
        <v>10</v>
      </c>
      <c r="E447">
        <v>0</v>
      </c>
      <c r="G447">
        <f t="shared" si="6"/>
        <v>3.7999999999999545E-3</v>
      </c>
      <c r="H447">
        <f>SQRT($K$3/B447*G447)</f>
        <v>1.0159315675758968E-2</v>
      </c>
    </row>
    <row r="448" spans="1:8">
      <c r="A448" s="1">
        <v>22250</v>
      </c>
      <c r="B448">
        <v>361.36</v>
      </c>
      <c r="C448">
        <v>0</v>
      </c>
      <c r="D448">
        <v>10</v>
      </c>
      <c r="E448">
        <v>0</v>
      </c>
      <c r="G448">
        <f t="shared" si="6"/>
        <v>3.6000000000001365E-3</v>
      </c>
      <c r="H448">
        <f>SQRT($K$3/B448*G448)</f>
        <v>9.8858886689713963E-3</v>
      </c>
    </row>
    <row r="449" spans="1:8">
      <c r="A449" s="1">
        <v>22300</v>
      </c>
      <c r="B449">
        <v>361.54</v>
      </c>
      <c r="C449">
        <v>0</v>
      </c>
      <c r="D449">
        <v>10</v>
      </c>
      <c r="E449">
        <v>0</v>
      </c>
      <c r="G449">
        <f t="shared" si="6"/>
        <v>3.6000000000001365E-3</v>
      </c>
      <c r="H449">
        <f>SQRT($K$3/B449*G449)</f>
        <v>9.8834274177950418E-3</v>
      </c>
    </row>
    <row r="450" spans="1:8">
      <c r="A450" s="1">
        <v>22350</v>
      </c>
      <c r="B450">
        <v>361.73</v>
      </c>
      <c r="C450">
        <v>0</v>
      </c>
      <c r="D450">
        <v>10</v>
      </c>
      <c r="E450">
        <v>0</v>
      </c>
      <c r="G450">
        <f t="shared" si="6"/>
        <v>3.7999999999999545E-3</v>
      </c>
      <c r="H450">
        <f>SQRT($K$3/B450*G450)</f>
        <v>1.0151589264909819E-2</v>
      </c>
    </row>
    <row r="451" spans="1:8">
      <c r="A451" s="1">
        <v>22400</v>
      </c>
      <c r="B451">
        <v>361.91</v>
      </c>
      <c r="C451">
        <v>0</v>
      </c>
      <c r="D451">
        <v>10</v>
      </c>
      <c r="E451">
        <v>0</v>
      </c>
      <c r="G451">
        <f t="shared" si="6"/>
        <v>3.6000000000001365E-3</v>
      </c>
      <c r="H451">
        <f>SQRT($K$3/B451*G451)</f>
        <v>9.8783739469379735E-3</v>
      </c>
    </row>
    <row r="452" spans="1:8">
      <c r="A452" s="1">
        <v>22450</v>
      </c>
      <c r="B452">
        <v>362.1</v>
      </c>
      <c r="C452">
        <v>0</v>
      </c>
      <c r="D452">
        <v>10</v>
      </c>
      <c r="E452">
        <v>0</v>
      </c>
      <c r="G452">
        <f t="shared" si="6"/>
        <v>3.7999999999999545E-3</v>
      </c>
      <c r="H452">
        <f>SQRT($K$3/B452*G452)</f>
        <v>1.0146401405164764E-2</v>
      </c>
    </row>
    <row r="453" spans="1:8">
      <c r="A453" s="1">
        <v>22500</v>
      </c>
      <c r="B453">
        <v>362.28</v>
      </c>
      <c r="C453">
        <v>0</v>
      </c>
      <c r="D453">
        <v>10</v>
      </c>
      <c r="E453">
        <v>0</v>
      </c>
      <c r="G453">
        <f t="shared" ref="G453:G516" si="7">(B453-B452)/(A453-A452)</f>
        <v>3.5999999999989994E-3</v>
      </c>
      <c r="H453">
        <f>SQRT($K$3/B453*G453)</f>
        <v>9.8733282197939459E-3</v>
      </c>
    </row>
    <row r="454" spans="1:8">
      <c r="A454" s="1">
        <v>22550</v>
      </c>
      <c r="B454">
        <v>362.47</v>
      </c>
      <c r="C454">
        <v>0</v>
      </c>
      <c r="D454">
        <v>10</v>
      </c>
      <c r="E454">
        <v>0</v>
      </c>
      <c r="G454">
        <f t="shared" si="7"/>
        <v>3.8000000000010916E-3</v>
      </c>
      <c r="H454">
        <f>SQRT($K$3/B454*G454)</f>
        <v>1.0141221490899277E-2</v>
      </c>
    </row>
    <row r="455" spans="1:8">
      <c r="A455" s="1">
        <v>22600</v>
      </c>
      <c r="B455">
        <v>362.65</v>
      </c>
      <c r="C455">
        <v>0</v>
      </c>
      <c r="D455">
        <v>10</v>
      </c>
      <c r="E455">
        <v>0</v>
      </c>
      <c r="G455">
        <f t="shared" si="7"/>
        <v>3.5999999999989994E-3</v>
      </c>
      <c r="H455">
        <f>SQRT($K$3/B455*G455)</f>
        <v>9.8682902166093815E-3</v>
      </c>
    </row>
    <row r="456" spans="1:8">
      <c r="A456" s="1">
        <v>22650</v>
      </c>
      <c r="B456">
        <v>362.84</v>
      </c>
      <c r="C456">
        <v>0</v>
      </c>
      <c r="D456">
        <v>10</v>
      </c>
      <c r="E456">
        <v>0</v>
      </c>
      <c r="G456">
        <f t="shared" si="7"/>
        <v>3.7999999999999545E-3</v>
      </c>
      <c r="H456">
        <f>SQRT($K$3/B456*G456)</f>
        <v>1.0136049501847964E-2</v>
      </c>
    </row>
    <row r="457" spans="1:8">
      <c r="A457" s="1">
        <v>22700</v>
      </c>
      <c r="B457">
        <v>363.02</v>
      </c>
      <c r="C457">
        <v>0</v>
      </c>
      <c r="D457">
        <v>10</v>
      </c>
      <c r="E457">
        <v>0</v>
      </c>
      <c r="G457">
        <f t="shared" si="7"/>
        <v>3.6000000000001365E-3</v>
      </c>
      <c r="H457">
        <f>SQRT($K$3/B457*G457)</f>
        <v>9.8632599176980817E-3</v>
      </c>
    </row>
    <row r="458" spans="1:8">
      <c r="A458" s="1">
        <v>22750</v>
      </c>
      <c r="B458">
        <v>363.21</v>
      </c>
      <c r="C458">
        <v>0</v>
      </c>
      <c r="D458">
        <v>10</v>
      </c>
      <c r="E458">
        <v>0</v>
      </c>
      <c r="G458">
        <f t="shared" si="7"/>
        <v>3.7999999999999545E-3</v>
      </c>
      <c r="H458">
        <f>SQRT($K$3/B458*G458)</f>
        <v>1.0130885417826797E-2</v>
      </c>
    </row>
    <row r="459" spans="1:8">
      <c r="A459" s="1">
        <v>22800</v>
      </c>
      <c r="B459">
        <v>363.39</v>
      </c>
      <c r="C459">
        <v>0</v>
      </c>
      <c r="D459">
        <v>10</v>
      </c>
      <c r="E459">
        <v>0</v>
      </c>
      <c r="G459">
        <f t="shared" si="7"/>
        <v>3.6000000000001365E-3</v>
      </c>
      <c r="H459">
        <f>SQRT($K$3/B459*G459)</f>
        <v>9.8582373034409101E-3</v>
      </c>
    </row>
    <row r="460" spans="1:8">
      <c r="A460" s="1">
        <v>22850</v>
      </c>
      <c r="B460">
        <v>363.58</v>
      </c>
      <c r="C460">
        <v>0</v>
      </c>
      <c r="D460">
        <v>10</v>
      </c>
      <c r="E460">
        <v>0</v>
      </c>
      <c r="G460">
        <f t="shared" si="7"/>
        <v>3.7999999999999545E-3</v>
      </c>
      <c r="H460">
        <f>SQRT($K$3/B460*G460)</f>
        <v>1.0125729218717605E-2</v>
      </c>
    </row>
    <row r="461" spans="1:8">
      <c r="A461" s="1">
        <v>22900</v>
      </c>
      <c r="B461">
        <v>363.76</v>
      </c>
      <c r="C461">
        <v>0</v>
      </c>
      <c r="D461">
        <v>10</v>
      </c>
      <c r="E461">
        <v>0</v>
      </c>
      <c r="G461">
        <f t="shared" si="7"/>
        <v>3.6000000000001365E-3</v>
      </c>
      <c r="H461">
        <f>SQRT($K$3/B461*G461)</f>
        <v>9.8532223542932493E-3</v>
      </c>
    </row>
    <row r="462" spans="1:8">
      <c r="A462" s="1">
        <v>22950</v>
      </c>
      <c r="B462">
        <v>363.95</v>
      </c>
      <c r="C462">
        <v>0</v>
      </c>
      <c r="D462">
        <v>10</v>
      </c>
      <c r="E462">
        <v>0</v>
      </c>
      <c r="G462">
        <f t="shared" si="7"/>
        <v>3.7999999999999545E-3</v>
      </c>
      <c r="H462">
        <f>SQRT($K$3/B462*G462)</f>
        <v>1.012058088447533E-2</v>
      </c>
    </row>
    <row r="463" spans="1:8">
      <c r="A463" s="1">
        <v>23000</v>
      </c>
      <c r="B463">
        <v>364.13</v>
      </c>
      <c r="C463">
        <v>0</v>
      </c>
      <c r="D463">
        <v>10</v>
      </c>
      <c r="E463">
        <v>0</v>
      </c>
      <c r="G463">
        <f t="shared" si="7"/>
        <v>3.6000000000001365E-3</v>
      </c>
      <c r="H463">
        <f>SQRT($K$3/B463*G463)</f>
        <v>9.8482150507784617E-3</v>
      </c>
    </row>
    <row r="464" spans="1:8">
      <c r="A464" s="1">
        <v>23050</v>
      </c>
      <c r="B464">
        <v>364.32</v>
      </c>
      <c r="C464">
        <v>0</v>
      </c>
      <c r="D464">
        <v>10</v>
      </c>
      <c r="E464">
        <v>0</v>
      </c>
      <c r="G464">
        <f t="shared" si="7"/>
        <v>3.7999999999999545E-3</v>
      </c>
      <c r="H464">
        <f>SQRT($K$3/B464*G464)</f>
        <v>1.0115440395126183E-2</v>
      </c>
    </row>
    <row r="465" spans="1:8">
      <c r="A465" s="1">
        <v>23100</v>
      </c>
      <c r="B465">
        <v>364.51</v>
      </c>
      <c r="C465">
        <v>0</v>
      </c>
      <c r="D465">
        <v>10</v>
      </c>
      <c r="E465">
        <v>0</v>
      </c>
      <c r="G465">
        <f t="shared" si="7"/>
        <v>3.7999999999999545E-3</v>
      </c>
      <c r="H465">
        <f>SQRT($K$3/B465*G465)</f>
        <v>1.0112803726459689E-2</v>
      </c>
    </row>
    <row r="466" spans="1:8">
      <c r="A466" s="1">
        <v>23150</v>
      </c>
      <c r="B466">
        <v>364.69</v>
      </c>
      <c r="C466">
        <v>0</v>
      </c>
      <c r="D466">
        <v>10</v>
      </c>
      <c r="E466">
        <v>0</v>
      </c>
      <c r="G466">
        <f t="shared" si="7"/>
        <v>3.6000000000001365E-3</v>
      </c>
      <c r="H466">
        <f>SQRT($K$3/B466*G466)</f>
        <v>9.8406509289267041E-3</v>
      </c>
    </row>
    <row r="467" spans="1:8">
      <c r="A467" s="1">
        <v>23200</v>
      </c>
      <c r="B467">
        <v>364.88</v>
      </c>
      <c r="C467">
        <v>0</v>
      </c>
      <c r="D467">
        <v>10</v>
      </c>
      <c r="E467">
        <v>0</v>
      </c>
      <c r="G467">
        <f t="shared" si="7"/>
        <v>3.7999999999999545E-3</v>
      </c>
      <c r="H467">
        <f>SQRT($K$3/B467*G467)</f>
        <v>1.0107675072627746E-2</v>
      </c>
    </row>
    <row r="468" spans="1:8">
      <c r="A468" s="1">
        <v>23250</v>
      </c>
      <c r="B468">
        <v>365.06</v>
      </c>
      <c r="C468">
        <v>0</v>
      </c>
      <c r="D468">
        <v>10</v>
      </c>
      <c r="E468">
        <v>0</v>
      </c>
      <c r="G468">
        <f t="shared" si="7"/>
        <v>3.6000000000001365E-3</v>
      </c>
      <c r="H468">
        <f>SQRT($K$3/B468*G468)</f>
        <v>9.8356627572708088E-3</v>
      </c>
    </row>
    <row r="469" spans="1:8">
      <c r="A469" s="1">
        <v>23300</v>
      </c>
      <c r="B469">
        <v>365.25</v>
      </c>
      <c r="C469">
        <v>0</v>
      </c>
      <c r="D469">
        <v>10</v>
      </c>
      <c r="E469">
        <v>0</v>
      </c>
      <c r="G469">
        <f t="shared" si="7"/>
        <v>3.7999999999999545E-3</v>
      </c>
      <c r="H469">
        <f>SQRT($K$3/B469*G469)</f>
        <v>1.0102554213797086E-2</v>
      </c>
    </row>
    <row r="470" spans="1:8">
      <c r="A470" s="1">
        <v>23350</v>
      </c>
      <c r="B470">
        <v>365.44</v>
      </c>
      <c r="C470">
        <v>0</v>
      </c>
      <c r="D470">
        <v>10</v>
      </c>
      <c r="E470">
        <v>0</v>
      </c>
      <c r="G470">
        <f t="shared" si="7"/>
        <v>3.7999999999999545E-3</v>
      </c>
      <c r="H470">
        <f>SQRT($K$3/B470*G470)</f>
        <v>1.0099927606336528E-2</v>
      </c>
    </row>
    <row r="471" spans="1:8">
      <c r="A471" s="1">
        <v>23400</v>
      </c>
      <c r="B471">
        <v>365.62</v>
      </c>
      <c r="C471">
        <v>0</v>
      </c>
      <c r="D471">
        <v>10</v>
      </c>
      <c r="E471">
        <v>0</v>
      </c>
      <c r="G471">
        <f t="shared" si="7"/>
        <v>3.6000000000001365E-3</v>
      </c>
      <c r="H471">
        <f>SQRT($K$3/B471*G471)</f>
        <v>9.8281274995924341E-3</v>
      </c>
    </row>
    <row r="472" spans="1:8">
      <c r="A472" s="1">
        <v>23450</v>
      </c>
      <c r="B472">
        <v>365.81</v>
      </c>
      <c r="C472">
        <v>0</v>
      </c>
      <c r="D472">
        <v>10</v>
      </c>
      <c r="E472">
        <v>0</v>
      </c>
      <c r="G472">
        <f t="shared" si="7"/>
        <v>3.7999999999999545E-3</v>
      </c>
      <c r="H472">
        <f>SQRT($K$3/B472*G472)</f>
        <v>1.0094818507847303E-2</v>
      </c>
    </row>
    <row r="473" spans="1:8">
      <c r="A473" s="1">
        <v>23500</v>
      </c>
      <c r="B473">
        <v>366</v>
      </c>
      <c r="C473">
        <v>0</v>
      </c>
      <c r="D473">
        <v>10</v>
      </c>
      <c r="E473">
        <v>0</v>
      </c>
      <c r="G473">
        <f t="shared" si="7"/>
        <v>3.7999999999999545E-3</v>
      </c>
      <c r="H473">
        <f>SQRT($K$3/B473*G473)</f>
        <v>1.0092197927923938E-2</v>
      </c>
    </row>
    <row r="474" spans="1:8">
      <c r="A474" s="1">
        <v>23550</v>
      </c>
      <c r="B474">
        <v>366.18</v>
      </c>
      <c r="C474">
        <v>0</v>
      </c>
      <c r="D474">
        <v>10</v>
      </c>
      <c r="E474">
        <v>0</v>
      </c>
      <c r="G474">
        <f t="shared" si="7"/>
        <v>3.6000000000001365E-3</v>
      </c>
      <c r="H474">
        <f>SQRT($K$3/B474*G474)</f>
        <v>9.8206095340624428E-3</v>
      </c>
    </row>
    <row r="475" spans="1:8">
      <c r="A475" s="1">
        <v>23600</v>
      </c>
      <c r="B475">
        <v>366.37</v>
      </c>
      <c r="C475">
        <v>0</v>
      </c>
      <c r="D475">
        <v>10</v>
      </c>
      <c r="E475">
        <v>0</v>
      </c>
      <c r="G475">
        <f t="shared" si="7"/>
        <v>3.7999999999999545E-3</v>
      </c>
      <c r="H475">
        <f>SQRT($K$3/B475*G475)</f>
        <v>1.0087100544831144E-2</v>
      </c>
    </row>
    <row r="476" spans="1:8">
      <c r="A476" s="1">
        <v>23650</v>
      </c>
      <c r="B476">
        <v>366.56</v>
      </c>
      <c r="C476">
        <v>0</v>
      </c>
      <c r="D476">
        <v>10</v>
      </c>
      <c r="E476">
        <v>0</v>
      </c>
      <c r="G476">
        <f t="shared" si="7"/>
        <v>3.7999999999999545E-3</v>
      </c>
      <c r="H476">
        <f>SQRT($K$3/B476*G476)</f>
        <v>1.0084485969426876E-2</v>
      </c>
    </row>
    <row r="477" spans="1:8">
      <c r="A477" s="1">
        <v>23700</v>
      </c>
      <c r="B477">
        <v>366.74</v>
      </c>
      <c r="C477">
        <v>0</v>
      </c>
      <c r="D477">
        <v>10</v>
      </c>
      <c r="E477">
        <v>0</v>
      </c>
      <c r="G477">
        <f t="shared" si="7"/>
        <v>3.6000000000001365E-3</v>
      </c>
      <c r="H477">
        <f>SQRT($K$3/B477*G477)</f>
        <v>9.813108794644242E-3</v>
      </c>
    </row>
    <row r="478" spans="1:8">
      <c r="A478" s="1">
        <v>23750</v>
      </c>
      <c r="B478">
        <v>366.93</v>
      </c>
      <c r="C478">
        <v>0</v>
      </c>
      <c r="D478">
        <v>10</v>
      </c>
      <c r="E478">
        <v>0</v>
      </c>
      <c r="G478">
        <f t="shared" si="7"/>
        <v>3.7999999999999545E-3</v>
      </c>
      <c r="H478">
        <f>SQRT($K$3/B478*G478)</f>
        <v>1.0079400257025622E-2</v>
      </c>
    </row>
    <row r="479" spans="1:8">
      <c r="A479" s="1">
        <v>23800</v>
      </c>
      <c r="B479">
        <v>367.12</v>
      </c>
      <c r="C479">
        <v>0</v>
      </c>
      <c r="D479">
        <v>10</v>
      </c>
      <c r="E479">
        <v>0</v>
      </c>
      <c r="G479">
        <f t="shared" si="7"/>
        <v>3.7999999999999545E-3</v>
      </c>
      <c r="H479">
        <f>SQRT($K$3/B479*G479)</f>
        <v>1.0076791663245229E-2</v>
      </c>
    </row>
    <row r="480" spans="1:8">
      <c r="A480" s="1">
        <v>23850</v>
      </c>
      <c r="B480">
        <v>367.3</v>
      </c>
      <c r="C480">
        <v>0</v>
      </c>
      <c r="D480">
        <v>10</v>
      </c>
      <c r="E480">
        <v>0</v>
      </c>
      <c r="G480">
        <f t="shared" si="7"/>
        <v>3.6000000000001365E-3</v>
      </c>
      <c r="H480">
        <f>SQRT($K$3/B480*G480)</f>
        <v>9.8056252156537571E-3</v>
      </c>
    </row>
    <row r="481" spans="1:8">
      <c r="A481" s="1">
        <v>23900</v>
      </c>
      <c r="B481">
        <v>367.49</v>
      </c>
      <c r="C481">
        <v>0</v>
      </c>
      <c r="D481">
        <v>10</v>
      </c>
      <c r="E481">
        <v>0</v>
      </c>
      <c r="G481">
        <f t="shared" si="7"/>
        <v>3.7999999999999545E-3</v>
      </c>
      <c r="H481">
        <f>SQRT($K$3/B481*G481)</f>
        <v>1.0071717577069086E-2</v>
      </c>
    </row>
    <row r="482" spans="1:8">
      <c r="A482" s="1">
        <v>23950</v>
      </c>
      <c r="B482">
        <v>367.68</v>
      </c>
      <c r="C482">
        <v>0</v>
      </c>
      <c r="D482">
        <v>10</v>
      </c>
      <c r="E482">
        <v>0</v>
      </c>
      <c r="G482">
        <f t="shared" si="7"/>
        <v>3.7999999999999545E-3</v>
      </c>
      <c r="H482">
        <f>SQRT($K$3/B482*G482)</f>
        <v>1.0069114942139376E-2</v>
      </c>
    </row>
    <row r="483" spans="1:8">
      <c r="A483" s="1">
        <v>24000</v>
      </c>
      <c r="B483">
        <v>367.87</v>
      </c>
      <c r="C483">
        <v>0</v>
      </c>
      <c r="D483">
        <v>10</v>
      </c>
      <c r="E483">
        <v>0</v>
      </c>
      <c r="G483">
        <f t="shared" si="7"/>
        <v>3.7999999999999545E-3</v>
      </c>
      <c r="H483">
        <f>SQRT($K$3/B483*G483)</f>
        <v>1.0066514323809998E-2</v>
      </c>
    </row>
    <row r="484" spans="1:8">
      <c r="A484" s="1">
        <v>24050</v>
      </c>
      <c r="B484">
        <v>368.05</v>
      </c>
      <c r="C484">
        <v>0</v>
      </c>
      <c r="D484">
        <v>10</v>
      </c>
      <c r="E484">
        <v>0</v>
      </c>
      <c r="G484">
        <f t="shared" si="7"/>
        <v>3.6000000000001365E-3</v>
      </c>
      <c r="H484">
        <f>SQRT($K$3/B484*G484)</f>
        <v>9.7956293329213399E-3</v>
      </c>
    </row>
    <row r="485" spans="1:8">
      <c r="A485" s="1">
        <v>24100</v>
      </c>
      <c r="B485">
        <v>368.24</v>
      </c>
      <c r="C485">
        <v>0</v>
      </c>
      <c r="D485">
        <v>10</v>
      </c>
      <c r="E485">
        <v>0</v>
      </c>
      <c r="G485">
        <f t="shared" si="7"/>
        <v>3.7999999999999545E-3</v>
      </c>
      <c r="H485">
        <f>SQRT($K$3/B485*G485)</f>
        <v>1.0061455739227725E-2</v>
      </c>
    </row>
    <row r="486" spans="1:8">
      <c r="A486" s="1">
        <v>24150</v>
      </c>
      <c r="B486">
        <v>368.43</v>
      </c>
      <c r="C486">
        <v>0</v>
      </c>
      <c r="D486">
        <v>10</v>
      </c>
      <c r="E486">
        <v>0</v>
      </c>
      <c r="G486">
        <f t="shared" si="7"/>
        <v>3.7999999999999545E-3</v>
      </c>
      <c r="H486">
        <f>SQRT($K$3/B486*G486)</f>
        <v>1.0058861049438929E-2</v>
      </c>
    </row>
    <row r="487" spans="1:8">
      <c r="A487" s="1">
        <v>24200</v>
      </c>
      <c r="B487">
        <v>368.62</v>
      </c>
      <c r="C487">
        <v>0</v>
      </c>
      <c r="D487">
        <v>10</v>
      </c>
      <c r="E487">
        <v>0</v>
      </c>
      <c r="G487">
        <f t="shared" si="7"/>
        <v>3.7999999999999545E-3</v>
      </c>
      <c r="H487">
        <f>SQRT($K$3/B487*G487)</f>
        <v>1.0056268366003323E-2</v>
      </c>
    </row>
    <row r="488" spans="1:8">
      <c r="A488" s="1">
        <v>24250</v>
      </c>
      <c r="B488">
        <v>368.81</v>
      </c>
      <c r="C488">
        <v>0</v>
      </c>
      <c r="D488">
        <v>10</v>
      </c>
      <c r="E488">
        <v>0</v>
      </c>
      <c r="G488">
        <f t="shared" si="7"/>
        <v>3.7999999999999545E-3</v>
      </c>
      <c r="H488">
        <f>SQRT($K$3/B488*G488)</f>
        <v>1.0053677686336537E-2</v>
      </c>
    </row>
    <row r="489" spans="1:8">
      <c r="A489" s="1">
        <v>24300</v>
      </c>
      <c r="B489">
        <v>368.99</v>
      </c>
      <c r="C489">
        <v>0</v>
      </c>
      <c r="D489">
        <v>10</v>
      </c>
      <c r="E489">
        <v>0</v>
      </c>
      <c r="G489">
        <f t="shared" si="7"/>
        <v>3.6000000000001365E-3</v>
      </c>
      <c r="H489">
        <f>SQRT($K$3/B489*G489)</f>
        <v>9.7831442204280982E-3</v>
      </c>
    </row>
    <row r="490" spans="1:8">
      <c r="A490" s="1">
        <v>24350</v>
      </c>
      <c r="B490">
        <v>369.18</v>
      </c>
      <c r="C490">
        <v>0</v>
      </c>
      <c r="D490">
        <v>10</v>
      </c>
      <c r="E490">
        <v>0</v>
      </c>
      <c r="G490">
        <f t="shared" si="7"/>
        <v>3.7999999999999545E-3</v>
      </c>
      <c r="H490">
        <f>SQRT($K$3/B490*G490)</f>
        <v>1.0048638419255363E-2</v>
      </c>
    </row>
    <row r="491" spans="1:8">
      <c r="A491" s="1">
        <v>24400</v>
      </c>
      <c r="B491">
        <v>369.37</v>
      </c>
      <c r="C491">
        <v>0</v>
      </c>
      <c r="D491">
        <v>10</v>
      </c>
      <c r="E491">
        <v>0</v>
      </c>
      <c r="G491">
        <f t="shared" si="7"/>
        <v>3.7999999999999545E-3</v>
      </c>
      <c r="H491">
        <f>SQRT($K$3/B491*G491)</f>
        <v>1.0046053630444439E-2</v>
      </c>
    </row>
    <row r="492" spans="1:8">
      <c r="A492" s="1">
        <v>24450</v>
      </c>
      <c r="B492">
        <v>369.56</v>
      </c>
      <c r="C492">
        <v>0</v>
      </c>
      <c r="D492">
        <v>10</v>
      </c>
      <c r="E492">
        <v>0</v>
      </c>
      <c r="G492">
        <f t="shared" si="7"/>
        <v>3.7999999999999545E-3</v>
      </c>
      <c r="H492">
        <f>SQRT($K$3/B492*G492)</f>
        <v>1.0043470835246267E-2</v>
      </c>
    </row>
    <row r="493" spans="1:8">
      <c r="A493" s="1">
        <v>24500</v>
      </c>
      <c r="B493">
        <v>369.75</v>
      </c>
      <c r="C493">
        <v>0</v>
      </c>
      <c r="D493">
        <v>10</v>
      </c>
      <c r="E493">
        <v>0</v>
      </c>
      <c r="G493">
        <f t="shared" si="7"/>
        <v>3.7999999999999545E-3</v>
      </c>
      <c r="H493">
        <f>SQRT($K$3/B493*G493)</f>
        <v>1.0040890031099417E-2</v>
      </c>
    </row>
    <row r="494" spans="1:8">
      <c r="A494" s="1">
        <v>24550</v>
      </c>
      <c r="B494">
        <v>369.94</v>
      </c>
      <c r="C494">
        <v>0</v>
      </c>
      <c r="D494">
        <v>10</v>
      </c>
      <c r="E494">
        <v>0</v>
      </c>
      <c r="G494">
        <f t="shared" si="7"/>
        <v>3.7999999999999545E-3</v>
      </c>
      <c r="H494">
        <f>SQRT($K$3/B494*G494)</f>
        <v>1.0038311215447068E-2</v>
      </c>
    </row>
    <row r="495" spans="1:8">
      <c r="A495" s="1">
        <v>24600</v>
      </c>
      <c r="B495">
        <v>370.12</v>
      </c>
      <c r="C495">
        <v>0</v>
      </c>
      <c r="D495">
        <v>10</v>
      </c>
      <c r="E495">
        <v>0</v>
      </c>
      <c r="G495">
        <f t="shared" si="7"/>
        <v>3.6000000000001365E-3</v>
      </c>
      <c r="H495">
        <f>SQRT($K$3/B495*G495)</f>
        <v>9.7681985220819285E-3</v>
      </c>
    </row>
    <row r="496" spans="1:8">
      <c r="A496" s="1">
        <v>24650</v>
      </c>
      <c r="B496">
        <v>370.31</v>
      </c>
      <c r="C496">
        <v>0</v>
      </c>
      <c r="D496">
        <v>10</v>
      </c>
      <c r="E496">
        <v>0</v>
      </c>
      <c r="G496">
        <f t="shared" si="7"/>
        <v>3.7999999999999545E-3</v>
      </c>
      <c r="H496">
        <f>SQRT($K$3/B496*G496)</f>
        <v>1.0033295008242335E-2</v>
      </c>
    </row>
    <row r="497" spans="1:8">
      <c r="A497" s="1">
        <v>24700</v>
      </c>
      <c r="B497">
        <v>370.5</v>
      </c>
      <c r="C497">
        <v>0</v>
      </c>
      <c r="D497">
        <v>10</v>
      </c>
      <c r="E497">
        <v>0</v>
      </c>
      <c r="G497">
        <f t="shared" si="7"/>
        <v>3.7999999999999545E-3</v>
      </c>
      <c r="H497">
        <f>SQRT($K$3/B497*G497)</f>
        <v>1.0030722038586426E-2</v>
      </c>
    </row>
    <row r="498" spans="1:8">
      <c r="A498" s="1">
        <v>24750</v>
      </c>
      <c r="B498">
        <v>370.69</v>
      </c>
      <c r="C498">
        <v>0</v>
      </c>
      <c r="D498">
        <v>10</v>
      </c>
      <c r="E498">
        <v>0</v>
      </c>
      <c r="G498">
        <f t="shared" si="7"/>
        <v>3.7999999999999545E-3</v>
      </c>
      <c r="H498">
        <f>SQRT($K$3/B498*G498)</f>
        <v>1.0028151047377058E-2</v>
      </c>
    </row>
    <row r="499" spans="1:8">
      <c r="A499" s="1">
        <v>24800</v>
      </c>
      <c r="B499">
        <v>370.88</v>
      </c>
      <c r="C499">
        <v>0</v>
      </c>
      <c r="D499">
        <v>10</v>
      </c>
      <c r="E499">
        <v>0</v>
      </c>
      <c r="G499">
        <f t="shared" si="7"/>
        <v>3.7999999999999545E-3</v>
      </c>
      <c r="H499">
        <f>SQRT($K$3/B499*G499)</f>
        <v>1.0025582032080033E-2</v>
      </c>
    </row>
    <row r="500" spans="1:8">
      <c r="A500" s="1">
        <v>24850</v>
      </c>
      <c r="B500">
        <v>371.07</v>
      </c>
      <c r="C500">
        <v>0</v>
      </c>
      <c r="D500">
        <v>10</v>
      </c>
      <c r="E500">
        <v>0</v>
      </c>
      <c r="G500">
        <f t="shared" si="7"/>
        <v>3.7999999999999545E-3</v>
      </c>
      <c r="H500">
        <f>SQRT($K$3/B500*G500)</f>
        <v>1.0023014990165701E-2</v>
      </c>
    </row>
    <row r="501" spans="1:8">
      <c r="A501" s="1">
        <v>24900</v>
      </c>
      <c r="B501">
        <v>371.26</v>
      </c>
      <c r="C501">
        <v>0</v>
      </c>
      <c r="D501">
        <v>10</v>
      </c>
      <c r="E501">
        <v>0</v>
      </c>
      <c r="G501">
        <f t="shared" si="7"/>
        <v>3.7999999999999545E-3</v>
      </c>
      <c r="H501">
        <f>SQRT($K$3/B501*G501)</f>
        <v>1.0020449919108939E-2</v>
      </c>
    </row>
    <row r="502" spans="1:8">
      <c r="A502" s="1">
        <v>24950</v>
      </c>
      <c r="B502">
        <v>371.45</v>
      </c>
      <c r="C502">
        <v>0</v>
      </c>
      <c r="D502">
        <v>10</v>
      </c>
      <c r="E502">
        <v>0</v>
      </c>
      <c r="G502">
        <f t="shared" si="7"/>
        <v>3.7999999999999545E-3</v>
      </c>
      <c r="H502">
        <f>SQRT($K$3/B502*G502)</f>
        <v>1.0017886816389146E-2</v>
      </c>
    </row>
    <row r="503" spans="1:8">
      <c r="A503" s="1">
        <v>25000</v>
      </c>
      <c r="B503">
        <v>371.64</v>
      </c>
      <c r="C503">
        <v>0</v>
      </c>
      <c r="D503">
        <v>10</v>
      </c>
      <c r="E503">
        <v>0</v>
      </c>
      <c r="G503">
        <f t="shared" si="7"/>
        <v>3.7999999999999545E-3</v>
      </c>
      <c r="H503">
        <f>SQRT($K$3/B503*G503)</f>
        <v>1.0015325679490232E-2</v>
      </c>
    </row>
    <row r="504" spans="1:8">
      <c r="A504" s="1">
        <v>25050</v>
      </c>
      <c r="B504">
        <v>371.83</v>
      </c>
      <c r="C504">
        <v>0</v>
      </c>
      <c r="D504">
        <v>10</v>
      </c>
      <c r="E504">
        <v>0</v>
      </c>
      <c r="G504">
        <f t="shared" si="7"/>
        <v>3.7999999999999545E-3</v>
      </c>
      <c r="H504">
        <f>SQRT($K$3/B504*G504)</f>
        <v>1.0012766505900607E-2</v>
      </c>
    </row>
    <row r="505" spans="1:8">
      <c r="A505" s="1">
        <v>25100</v>
      </c>
      <c r="B505">
        <v>372.02</v>
      </c>
      <c r="C505">
        <v>0</v>
      </c>
      <c r="D505">
        <v>10</v>
      </c>
      <c r="E505">
        <v>0</v>
      </c>
      <c r="G505">
        <f t="shared" si="7"/>
        <v>3.7999999999999545E-3</v>
      </c>
      <c r="H505">
        <f>SQRT($K$3/B505*G505)</f>
        <v>1.0010209293113173E-2</v>
      </c>
    </row>
    <row r="506" spans="1:8">
      <c r="A506" s="1">
        <v>25150</v>
      </c>
      <c r="B506">
        <v>372.21</v>
      </c>
      <c r="C506">
        <v>0</v>
      </c>
      <c r="D506">
        <v>10</v>
      </c>
      <c r="E506">
        <v>0</v>
      </c>
      <c r="G506">
        <f t="shared" si="7"/>
        <v>3.7999999999999545E-3</v>
      </c>
      <c r="H506">
        <f>SQRT($K$3/B506*G506)</f>
        <v>1.0007654038625313E-2</v>
      </c>
    </row>
    <row r="507" spans="1:8">
      <c r="A507" s="1">
        <v>25200</v>
      </c>
      <c r="B507">
        <v>372.4</v>
      </c>
      <c r="C507">
        <v>0</v>
      </c>
      <c r="D507">
        <v>10</v>
      </c>
      <c r="E507">
        <v>0</v>
      </c>
      <c r="G507">
        <f t="shared" si="7"/>
        <v>3.7999999999999545E-3</v>
      </c>
      <c r="H507">
        <f>SQRT($K$3/B507*G507)</f>
        <v>1.0005100739938872E-2</v>
      </c>
    </row>
    <row r="508" spans="1:8">
      <c r="A508" s="1">
        <v>25250</v>
      </c>
      <c r="B508">
        <v>372.59</v>
      </c>
      <c r="C508">
        <v>0</v>
      </c>
      <c r="D508">
        <v>10</v>
      </c>
      <c r="E508">
        <v>0</v>
      </c>
      <c r="G508">
        <f t="shared" si="7"/>
        <v>3.7999999999999545E-3</v>
      </c>
      <c r="H508">
        <f>SQRT($K$3/B508*G508)</f>
        <v>1.0002549394560162E-2</v>
      </c>
    </row>
    <row r="509" spans="1:8">
      <c r="A509" s="1">
        <v>25300</v>
      </c>
      <c r="B509">
        <v>372.78</v>
      </c>
      <c r="C509">
        <v>0</v>
      </c>
      <c r="D509">
        <v>10</v>
      </c>
      <c r="E509">
        <v>0</v>
      </c>
      <c r="G509">
        <f t="shared" si="7"/>
        <v>3.7999999999999545E-3</v>
      </c>
      <c r="H509">
        <f>SQRT($K$3/B509*G509)</f>
        <v>9.9999999999999412E-3</v>
      </c>
    </row>
    <row r="510" spans="1:8">
      <c r="A510" s="1">
        <v>25350</v>
      </c>
      <c r="B510">
        <v>372.97</v>
      </c>
      <c r="C510">
        <v>0</v>
      </c>
      <c r="D510">
        <v>10</v>
      </c>
      <c r="E510">
        <v>0</v>
      </c>
      <c r="G510">
        <f t="shared" si="7"/>
        <v>3.8000000000010916E-3</v>
      </c>
      <c r="H510">
        <f>SQRT($K$3/B510*G510)</f>
        <v>9.9974525537749031E-3</v>
      </c>
    </row>
    <row r="511" spans="1:8">
      <c r="A511" s="1">
        <v>25400</v>
      </c>
      <c r="B511">
        <v>373.16</v>
      </c>
      <c r="C511">
        <v>0</v>
      </c>
      <c r="D511">
        <v>10</v>
      </c>
      <c r="E511">
        <v>0</v>
      </c>
      <c r="G511">
        <f t="shared" si="7"/>
        <v>3.7999999999999545E-3</v>
      </c>
      <c r="H511">
        <f>SQRT($K$3/B511*G511)</f>
        <v>9.9949070534001861E-3</v>
      </c>
    </row>
    <row r="512" spans="1:8">
      <c r="A512" s="1">
        <v>25450</v>
      </c>
      <c r="B512">
        <v>373.35</v>
      </c>
      <c r="C512">
        <v>0</v>
      </c>
      <c r="D512">
        <v>10</v>
      </c>
      <c r="E512">
        <v>0</v>
      </c>
      <c r="G512">
        <f t="shared" si="7"/>
        <v>3.7999999999999545E-3</v>
      </c>
      <c r="H512">
        <f>SQRT($K$3/B512*G512)</f>
        <v>9.9923634964043228E-3</v>
      </c>
    </row>
    <row r="513" spans="1:8">
      <c r="A513" s="1">
        <v>25500</v>
      </c>
      <c r="B513">
        <v>373.54</v>
      </c>
      <c r="C513">
        <v>0</v>
      </c>
      <c r="D513">
        <v>10</v>
      </c>
      <c r="E513">
        <v>0</v>
      </c>
      <c r="G513">
        <f t="shared" si="7"/>
        <v>3.7999999999999545E-3</v>
      </c>
      <c r="H513">
        <f>SQRT($K$3/B513*G513)</f>
        <v>9.9898218803142688E-3</v>
      </c>
    </row>
    <row r="514" spans="1:8">
      <c r="A514" s="1">
        <v>25550</v>
      </c>
      <c r="B514">
        <v>373.73</v>
      </c>
      <c r="C514">
        <v>0</v>
      </c>
      <c r="D514">
        <v>10</v>
      </c>
      <c r="E514">
        <v>0</v>
      </c>
      <c r="G514">
        <f t="shared" si="7"/>
        <v>3.7999999999999545E-3</v>
      </c>
      <c r="H514">
        <f>SQRT($K$3/B514*G514)</f>
        <v>9.9872822026628779E-3</v>
      </c>
    </row>
    <row r="515" spans="1:8">
      <c r="A515" s="1">
        <v>25600</v>
      </c>
      <c r="B515">
        <v>373.92</v>
      </c>
      <c r="C515">
        <v>0</v>
      </c>
      <c r="D515">
        <v>10</v>
      </c>
      <c r="E515">
        <v>0</v>
      </c>
      <c r="G515">
        <f t="shared" si="7"/>
        <v>3.7999999999999545E-3</v>
      </c>
      <c r="H515">
        <f>SQRT($K$3/B515*G515)</f>
        <v>9.9847444609873874E-3</v>
      </c>
    </row>
    <row r="516" spans="1:8">
      <c r="A516" s="1">
        <v>25650</v>
      </c>
      <c r="B516">
        <v>374.11</v>
      </c>
      <c r="C516">
        <v>0</v>
      </c>
      <c r="D516">
        <v>10</v>
      </c>
      <c r="E516">
        <v>0</v>
      </c>
      <c r="G516">
        <f t="shared" si="7"/>
        <v>3.7999999999999545E-3</v>
      </c>
      <c r="H516">
        <f>SQRT($K$3/B516*G516)</f>
        <v>9.9822086528294166E-3</v>
      </c>
    </row>
    <row r="517" spans="1:8">
      <c r="A517" s="1">
        <v>25700</v>
      </c>
      <c r="B517">
        <v>374.3</v>
      </c>
      <c r="C517">
        <v>0</v>
      </c>
      <c r="D517">
        <v>10</v>
      </c>
      <c r="E517">
        <v>0</v>
      </c>
      <c r="G517">
        <f t="shared" ref="G517:G580" si="8">(B517-B516)/(A517-A516)</f>
        <v>3.7999999999999545E-3</v>
      </c>
      <c r="H517">
        <f>SQRT($K$3/B517*G517)</f>
        <v>9.9796747757349494E-3</v>
      </c>
    </row>
    <row r="518" spans="1:8">
      <c r="A518" s="1">
        <v>25750</v>
      </c>
      <c r="B518">
        <v>374.49</v>
      </c>
      <c r="C518">
        <v>0</v>
      </c>
      <c r="D518">
        <v>10</v>
      </c>
      <c r="E518">
        <v>0</v>
      </c>
      <c r="G518">
        <f t="shared" si="8"/>
        <v>3.7999999999999545E-3</v>
      </c>
      <c r="H518">
        <f>SQRT($K$3/B518*G518)</f>
        <v>9.9771428272543341E-3</v>
      </c>
    </row>
    <row r="519" spans="1:8">
      <c r="A519" s="1">
        <v>25800</v>
      </c>
      <c r="B519">
        <v>374.68</v>
      </c>
      <c r="C519">
        <v>0</v>
      </c>
      <c r="D519">
        <v>10</v>
      </c>
      <c r="E519">
        <v>0</v>
      </c>
      <c r="G519">
        <f t="shared" si="8"/>
        <v>3.7999999999999545E-3</v>
      </c>
      <c r="H519">
        <f>SQRT($K$3/B519*G519)</f>
        <v>9.9746128049422594E-3</v>
      </c>
    </row>
    <row r="520" spans="1:8">
      <c r="A520" s="1">
        <v>25850</v>
      </c>
      <c r="B520">
        <v>374.87</v>
      </c>
      <c r="C520">
        <v>0</v>
      </c>
      <c r="D520">
        <v>10</v>
      </c>
      <c r="E520">
        <v>0</v>
      </c>
      <c r="G520">
        <f t="shared" si="8"/>
        <v>3.7999999999999545E-3</v>
      </c>
      <c r="H520">
        <f>SQRT($K$3/B520*G520)</f>
        <v>9.9720847063577579E-3</v>
      </c>
    </row>
    <row r="521" spans="1:8">
      <c r="A521" s="1">
        <v>25900</v>
      </c>
      <c r="B521">
        <v>375.06</v>
      </c>
      <c r="C521">
        <v>0</v>
      </c>
      <c r="D521">
        <v>10</v>
      </c>
      <c r="E521">
        <v>0</v>
      </c>
      <c r="G521">
        <f t="shared" si="8"/>
        <v>3.7999999999999545E-3</v>
      </c>
      <c r="H521">
        <f>SQRT($K$3/B521*G521)</f>
        <v>9.9695585290641882E-3</v>
      </c>
    </row>
    <row r="522" spans="1:8">
      <c r="A522" s="1">
        <v>25950</v>
      </c>
      <c r="B522">
        <v>375.26</v>
      </c>
      <c r="C522">
        <v>0</v>
      </c>
      <c r="D522">
        <v>10</v>
      </c>
      <c r="E522">
        <v>0</v>
      </c>
      <c r="G522">
        <f t="shared" si="8"/>
        <v>3.9999999999997728E-3</v>
      </c>
      <c r="H522">
        <f>SQRT($K$3/B522*G522)</f>
        <v>1.0225825143564363E-2</v>
      </c>
    </row>
    <row r="523" spans="1:8">
      <c r="A523" s="1">
        <v>26000</v>
      </c>
      <c r="B523">
        <v>375.45</v>
      </c>
      <c r="C523">
        <v>0</v>
      </c>
      <c r="D523">
        <v>10</v>
      </c>
      <c r="E523">
        <v>0</v>
      </c>
      <c r="G523">
        <f t="shared" si="8"/>
        <v>3.7999999999999545E-3</v>
      </c>
      <c r="H523">
        <f>SQRT($K$3/B523*G523)</f>
        <v>9.9643792268232986E-3</v>
      </c>
    </row>
    <row r="524" spans="1:8">
      <c r="A524" s="1">
        <v>26050</v>
      </c>
      <c r="B524">
        <v>375.64</v>
      </c>
      <c r="C524">
        <v>0</v>
      </c>
      <c r="D524">
        <v>10</v>
      </c>
      <c r="E524">
        <v>0</v>
      </c>
      <c r="G524">
        <f t="shared" si="8"/>
        <v>3.7999999999999545E-3</v>
      </c>
      <c r="H524">
        <f>SQRT($K$3/B524*G524)</f>
        <v>9.9618588994959695E-3</v>
      </c>
    </row>
    <row r="525" spans="1:8">
      <c r="A525" s="1">
        <v>26100</v>
      </c>
      <c r="B525">
        <v>375.83</v>
      </c>
      <c r="C525">
        <v>0</v>
      </c>
      <c r="D525">
        <v>10</v>
      </c>
      <c r="E525">
        <v>0</v>
      </c>
      <c r="G525">
        <f t="shared" si="8"/>
        <v>3.7999999999999545E-3</v>
      </c>
      <c r="H525">
        <f>SQRT($K$3/B525*G525)</f>
        <v>9.9593404836288788E-3</v>
      </c>
    </row>
    <row r="526" spans="1:8">
      <c r="A526" s="1">
        <v>26150</v>
      </c>
      <c r="B526">
        <v>376.02</v>
      </c>
      <c r="C526">
        <v>0</v>
      </c>
      <c r="D526">
        <v>10</v>
      </c>
      <c r="E526">
        <v>0</v>
      </c>
      <c r="G526">
        <f t="shared" si="8"/>
        <v>3.7999999999999545E-3</v>
      </c>
      <c r="H526">
        <f>SQRT($K$3/B526*G526)</f>
        <v>9.9568239768071057E-3</v>
      </c>
    </row>
    <row r="527" spans="1:8">
      <c r="A527" s="1">
        <v>26200</v>
      </c>
      <c r="B527">
        <v>376.21</v>
      </c>
      <c r="C527">
        <v>0</v>
      </c>
      <c r="D527">
        <v>10</v>
      </c>
      <c r="E527">
        <v>0</v>
      </c>
      <c r="G527">
        <f t="shared" si="8"/>
        <v>3.7999999999999545E-3</v>
      </c>
      <c r="H527">
        <f>SQRT($K$3/B527*G527)</f>
        <v>9.954309376620004E-3</v>
      </c>
    </row>
    <row r="528" spans="1:8">
      <c r="A528" s="1">
        <v>26250</v>
      </c>
      <c r="B528">
        <v>376.41</v>
      </c>
      <c r="C528">
        <v>0</v>
      </c>
      <c r="D528">
        <v>10</v>
      </c>
      <c r="E528">
        <v>0</v>
      </c>
      <c r="G528">
        <f t="shared" si="8"/>
        <v>4.0000000000009091E-3</v>
      </c>
      <c r="H528">
        <f>SQRT($K$3/B528*G528)</f>
        <v>1.0210192330065879E-2</v>
      </c>
    </row>
    <row r="529" spans="1:8">
      <c r="A529" s="1">
        <v>26300</v>
      </c>
      <c r="B529">
        <v>376.6</v>
      </c>
      <c r="C529">
        <v>0</v>
      </c>
      <c r="D529">
        <v>10</v>
      </c>
      <c r="E529">
        <v>0</v>
      </c>
      <c r="G529">
        <f t="shared" si="8"/>
        <v>3.7999999999999545E-3</v>
      </c>
      <c r="H529">
        <f>SQRT($K$3/B529*G529)</f>
        <v>9.9491537921055657E-3</v>
      </c>
    </row>
    <row r="530" spans="1:8">
      <c r="A530" s="1">
        <v>26350</v>
      </c>
      <c r="B530">
        <v>376.79</v>
      </c>
      <c r="C530">
        <v>0</v>
      </c>
      <c r="D530">
        <v>10</v>
      </c>
      <c r="E530">
        <v>0</v>
      </c>
      <c r="G530">
        <f t="shared" si="8"/>
        <v>3.7999999999999545E-3</v>
      </c>
      <c r="H530">
        <f>SQRT($K$3/B530*G530)</f>
        <v>9.9466449973046687E-3</v>
      </c>
    </row>
    <row r="531" spans="1:8">
      <c r="A531" s="1">
        <v>26400</v>
      </c>
      <c r="B531">
        <v>376.98</v>
      </c>
      <c r="C531">
        <v>0</v>
      </c>
      <c r="D531">
        <v>10</v>
      </c>
      <c r="E531">
        <v>0</v>
      </c>
      <c r="G531">
        <f t="shared" si="8"/>
        <v>3.7999999999999545E-3</v>
      </c>
      <c r="H531">
        <f>SQRT($K$3/B531*G531)</f>
        <v>9.9441380994124695E-3</v>
      </c>
    </row>
    <row r="532" spans="1:8">
      <c r="A532" s="1">
        <v>26450</v>
      </c>
      <c r="B532">
        <v>377.17</v>
      </c>
      <c r="C532">
        <v>0</v>
      </c>
      <c r="D532">
        <v>10</v>
      </c>
      <c r="E532">
        <v>0</v>
      </c>
      <c r="G532">
        <f t="shared" si="8"/>
        <v>3.7999999999999545E-3</v>
      </c>
      <c r="H532">
        <f>SQRT($K$3/B532*G532)</f>
        <v>9.941633096039737E-3</v>
      </c>
    </row>
    <row r="533" spans="1:8">
      <c r="A533" s="1">
        <v>26500</v>
      </c>
      <c r="B533">
        <v>377.37</v>
      </c>
      <c r="C533">
        <v>0</v>
      </c>
      <c r="D533">
        <v>10</v>
      </c>
      <c r="E533">
        <v>0</v>
      </c>
      <c r="G533">
        <f t="shared" si="8"/>
        <v>3.9999999999997728E-3</v>
      </c>
      <c r="H533">
        <f>SQRT($K$3/B533*G533)</f>
        <v>1.0197197091540603E-2</v>
      </c>
    </row>
    <row r="534" spans="1:8">
      <c r="A534" s="1">
        <v>26550</v>
      </c>
      <c r="B534">
        <v>377.56</v>
      </c>
      <c r="C534">
        <v>0</v>
      </c>
      <c r="D534">
        <v>10</v>
      </c>
      <c r="E534">
        <v>0</v>
      </c>
      <c r="G534">
        <f t="shared" si="8"/>
        <v>3.7999999999999545E-3</v>
      </c>
      <c r="H534">
        <f>SQRT($K$3/B534*G534)</f>
        <v>9.9364971723834607E-3</v>
      </c>
    </row>
    <row r="535" spans="1:8">
      <c r="A535" s="1">
        <v>26600</v>
      </c>
      <c r="B535">
        <v>377.75</v>
      </c>
      <c r="C535">
        <v>0</v>
      </c>
      <c r="D535">
        <v>10</v>
      </c>
      <c r="E535">
        <v>0</v>
      </c>
      <c r="G535">
        <f t="shared" si="8"/>
        <v>3.7999999999999545E-3</v>
      </c>
      <c r="H535">
        <f>SQRT($K$3/B535*G535)</f>
        <v>9.9339979375457042E-3</v>
      </c>
    </row>
    <row r="536" spans="1:8">
      <c r="A536" s="1">
        <v>26650</v>
      </c>
      <c r="B536">
        <v>377.94</v>
      </c>
      <c r="C536">
        <v>0</v>
      </c>
      <c r="D536">
        <v>10</v>
      </c>
      <c r="E536">
        <v>0</v>
      </c>
      <c r="G536">
        <f t="shared" si="8"/>
        <v>3.7999999999999545E-3</v>
      </c>
      <c r="H536">
        <f>SQRT($K$3/B536*G536)</f>
        <v>9.9315005875877677E-3</v>
      </c>
    </row>
    <row r="537" spans="1:8">
      <c r="A537" s="1">
        <v>26700</v>
      </c>
      <c r="B537">
        <v>378.14</v>
      </c>
      <c r="C537">
        <v>0</v>
      </c>
      <c r="D537">
        <v>10</v>
      </c>
      <c r="E537">
        <v>0</v>
      </c>
      <c r="G537">
        <f t="shared" si="8"/>
        <v>3.9999999999997728E-3</v>
      </c>
      <c r="H537">
        <f>SQRT($K$3/B537*G537)</f>
        <v>1.0186809612064715E-2</v>
      </c>
    </row>
    <row r="538" spans="1:8">
      <c r="A538" s="1">
        <v>26750</v>
      </c>
      <c r="B538">
        <v>378.33</v>
      </c>
      <c r="C538">
        <v>0</v>
      </c>
      <c r="D538">
        <v>10</v>
      </c>
      <c r="E538">
        <v>0</v>
      </c>
      <c r="G538">
        <f t="shared" si="8"/>
        <v>3.7999999999999545E-3</v>
      </c>
      <c r="H538">
        <f>SQRT($K$3/B538*G538)</f>
        <v>9.9263803434434857E-3</v>
      </c>
    </row>
    <row r="539" spans="1:8">
      <c r="A539" s="1">
        <v>26800</v>
      </c>
      <c r="B539">
        <v>378.52</v>
      </c>
      <c r="C539">
        <v>0</v>
      </c>
      <c r="D539">
        <v>10</v>
      </c>
      <c r="E539">
        <v>0</v>
      </c>
      <c r="G539">
        <f t="shared" si="8"/>
        <v>3.7999999999999545E-3</v>
      </c>
      <c r="H539">
        <f>SQRT($K$3/B539*G539)</f>
        <v>9.923888732699027E-3</v>
      </c>
    </row>
    <row r="540" spans="1:8">
      <c r="A540" s="1">
        <v>26850</v>
      </c>
      <c r="B540">
        <v>378.72</v>
      </c>
      <c r="C540">
        <v>0</v>
      </c>
      <c r="D540">
        <v>10</v>
      </c>
      <c r="E540">
        <v>0</v>
      </c>
      <c r="G540">
        <f t="shared" si="8"/>
        <v>4.0000000000009091E-3</v>
      </c>
      <c r="H540">
        <f>SQRT($K$3/B540*G540)</f>
        <v>1.017900620396725E-2</v>
      </c>
    </row>
    <row r="541" spans="1:8">
      <c r="A541" s="1">
        <v>26900</v>
      </c>
      <c r="B541">
        <v>378.91</v>
      </c>
      <c r="C541">
        <v>0</v>
      </c>
      <c r="D541">
        <v>10</v>
      </c>
      <c r="E541">
        <v>0</v>
      </c>
      <c r="G541">
        <f t="shared" si="8"/>
        <v>3.7999999999999545E-3</v>
      </c>
      <c r="H541">
        <f>SQRT($K$3/B541*G541)</f>
        <v>9.918780246492509E-3</v>
      </c>
    </row>
    <row r="542" spans="1:8">
      <c r="A542" s="1">
        <v>26950</v>
      </c>
      <c r="B542">
        <v>379.1</v>
      </c>
      <c r="C542">
        <v>0</v>
      </c>
      <c r="D542">
        <v>10</v>
      </c>
      <c r="E542">
        <v>0</v>
      </c>
      <c r="G542">
        <f t="shared" si="8"/>
        <v>3.7999999999999545E-3</v>
      </c>
      <c r="H542">
        <f>SQRT($K$3/B542*G542)</f>
        <v>9.9162943530128056E-3</v>
      </c>
    </row>
    <row r="543" spans="1:8">
      <c r="A543" s="1">
        <v>27000</v>
      </c>
      <c r="B543">
        <v>379.3</v>
      </c>
      <c r="C543">
        <v>0</v>
      </c>
      <c r="D543">
        <v>10</v>
      </c>
      <c r="E543">
        <v>0</v>
      </c>
      <c r="G543">
        <f t="shared" si="8"/>
        <v>3.9999999999997728E-3</v>
      </c>
      <c r="H543">
        <f>SQRT($K$3/B543*G543)</f>
        <v>1.0171220701384964E-2</v>
      </c>
    </row>
    <row r="544" spans="1:8">
      <c r="A544" s="1">
        <v>27050</v>
      </c>
      <c r="B544">
        <v>379.49</v>
      </c>
      <c r="C544">
        <v>0</v>
      </c>
      <c r="D544">
        <v>10</v>
      </c>
      <c r="E544">
        <v>0</v>
      </c>
      <c r="G544">
        <f t="shared" si="8"/>
        <v>3.7999999999999545E-3</v>
      </c>
      <c r="H544">
        <f>SQRT($K$3/B544*G544)</f>
        <v>9.9111975798120231E-3</v>
      </c>
    </row>
    <row r="545" spans="1:8">
      <c r="A545" s="1">
        <v>27100</v>
      </c>
      <c r="B545">
        <v>379.68</v>
      </c>
      <c r="C545">
        <v>0</v>
      </c>
      <c r="D545">
        <v>10</v>
      </c>
      <c r="E545">
        <v>0</v>
      </c>
      <c r="G545">
        <f t="shared" si="8"/>
        <v>3.7999999999999545E-3</v>
      </c>
      <c r="H545">
        <f>SQRT($K$3/B545*G545)</f>
        <v>9.9087173817656912E-3</v>
      </c>
    </row>
    <row r="546" spans="1:8">
      <c r="A546" s="1">
        <v>27150</v>
      </c>
      <c r="B546">
        <v>379.88</v>
      </c>
      <c r="C546">
        <v>0</v>
      </c>
      <c r="D546">
        <v>10</v>
      </c>
      <c r="E546">
        <v>0</v>
      </c>
      <c r="G546">
        <f t="shared" si="8"/>
        <v>3.9999999999997728E-3</v>
      </c>
      <c r="H546">
        <f>SQRT($K$3/B546*G546)</f>
        <v>1.0163453035950799E-2</v>
      </c>
    </row>
    <row r="547" spans="1:8">
      <c r="A547" s="1">
        <v>27200</v>
      </c>
      <c r="B547">
        <v>380.07</v>
      </c>
      <c r="C547">
        <v>0</v>
      </c>
      <c r="D547">
        <v>10</v>
      </c>
      <c r="E547">
        <v>0</v>
      </c>
      <c r="G547">
        <f t="shared" si="8"/>
        <v>3.7999999999999545E-3</v>
      </c>
      <c r="H547">
        <f>SQRT($K$3/B547*G547)</f>
        <v>9.9036322768786336E-3</v>
      </c>
    </row>
    <row r="548" spans="1:8">
      <c r="A548" s="1">
        <v>27250</v>
      </c>
      <c r="B548">
        <v>380.26</v>
      </c>
      <c r="C548">
        <v>0</v>
      </c>
      <c r="D548">
        <v>10</v>
      </c>
      <c r="E548">
        <v>0</v>
      </c>
      <c r="G548">
        <f t="shared" si="8"/>
        <v>3.7999999999999545E-3</v>
      </c>
      <c r="H548">
        <f>SQRT($K$3/B548*G548)</f>
        <v>9.9011577525508175E-3</v>
      </c>
    </row>
    <row r="549" spans="1:8">
      <c r="A549" s="1">
        <v>27300</v>
      </c>
      <c r="B549">
        <v>380.46</v>
      </c>
      <c r="C549">
        <v>0</v>
      </c>
      <c r="D549">
        <v>10</v>
      </c>
      <c r="E549">
        <v>0</v>
      </c>
      <c r="G549">
        <f t="shared" si="8"/>
        <v>3.9999999999997728E-3</v>
      </c>
      <c r="H549">
        <f>SQRT($K$3/B549*G549)</f>
        <v>1.0155703139656864E-2</v>
      </c>
    </row>
    <row r="550" spans="1:8">
      <c r="A550" s="1">
        <v>27350</v>
      </c>
      <c r="B550">
        <v>380.65</v>
      </c>
      <c r="C550">
        <v>0</v>
      </c>
      <c r="D550">
        <v>10</v>
      </c>
      <c r="E550">
        <v>0</v>
      </c>
      <c r="G550">
        <f t="shared" si="8"/>
        <v>3.7999999999999545E-3</v>
      </c>
      <c r="H550">
        <f>SQRT($K$3/B550*G550)</f>
        <v>9.896084271523848E-3</v>
      </c>
    </row>
    <row r="551" spans="1:8">
      <c r="A551" s="1">
        <v>27400</v>
      </c>
      <c r="B551">
        <v>380.85</v>
      </c>
      <c r="C551">
        <v>0</v>
      </c>
      <c r="D551">
        <v>10</v>
      </c>
      <c r="E551">
        <v>0</v>
      </c>
      <c r="G551">
        <f t="shared" si="8"/>
        <v>4.0000000000009091E-3</v>
      </c>
      <c r="H551">
        <f>SQRT($K$3/B551*G551)</f>
        <v>1.0150501959778662E-2</v>
      </c>
    </row>
    <row r="552" spans="1:8">
      <c r="A552" s="1">
        <v>27450</v>
      </c>
      <c r="B552">
        <v>381.04</v>
      </c>
      <c r="C552">
        <v>0</v>
      </c>
      <c r="D552">
        <v>10</v>
      </c>
      <c r="E552">
        <v>0</v>
      </c>
      <c r="G552">
        <f t="shared" si="8"/>
        <v>3.7999999999999545E-3</v>
      </c>
      <c r="H552">
        <f>SQRT($K$3/B552*G552)</f>
        <v>9.8910185816641141E-3</v>
      </c>
    </row>
    <row r="553" spans="1:8">
      <c r="A553" s="1">
        <v>27500</v>
      </c>
      <c r="B553">
        <v>381.23</v>
      </c>
      <c r="C553">
        <v>0</v>
      </c>
      <c r="D553">
        <v>10</v>
      </c>
      <c r="E553">
        <v>0</v>
      </c>
      <c r="G553">
        <f t="shared" si="8"/>
        <v>3.7999999999999545E-3</v>
      </c>
      <c r="H553">
        <f>SQRT($K$3/B553*G553)</f>
        <v>9.8885534979316469E-3</v>
      </c>
    </row>
    <row r="554" spans="1:8">
      <c r="A554" s="1">
        <v>27550</v>
      </c>
      <c r="B554">
        <v>381.43</v>
      </c>
      <c r="C554">
        <v>0</v>
      </c>
      <c r="D554">
        <v>10</v>
      </c>
      <c r="E554">
        <v>0</v>
      </c>
      <c r="G554">
        <f t="shared" si="8"/>
        <v>3.9999999999997728E-3</v>
      </c>
      <c r="H554">
        <f>SQRT($K$3/B554*G554)</f>
        <v>1.0142781629855466E-2</v>
      </c>
    </row>
    <row r="555" spans="1:8">
      <c r="A555" s="1">
        <v>27600</v>
      </c>
      <c r="B555">
        <v>381.62</v>
      </c>
      <c r="C555">
        <v>0</v>
      </c>
      <c r="D555">
        <v>10</v>
      </c>
      <c r="E555">
        <v>0</v>
      </c>
      <c r="G555">
        <f t="shared" si="8"/>
        <v>3.7999999999999545E-3</v>
      </c>
      <c r="H555">
        <f>SQRT($K$3/B555*G555)</f>
        <v>9.8834993581153555E-3</v>
      </c>
    </row>
    <row r="556" spans="1:8">
      <c r="A556" s="1">
        <v>27650</v>
      </c>
      <c r="B556">
        <v>381.82</v>
      </c>
      <c r="C556">
        <v>0</v>
      </c>
      <c r="D556">
        <v>10</v>
      </c>
      <c r="E556">
        <v>0</v>
      </c>
      <c r="G556">
        <f t="shared" si="8"/>
        <v>3.9999999999997728E-3</v>
      </c>
      <c r="H556">
        <f>SQRT($K$3/B556*G556)</f>
        <v>1.0137600267617482E-2</v>
      </c>
    </row>
    <row r="557" spans="1:8">
      <c r="A557" s="1">
        <v>27700</v>
      </c>
      <c r="B557">
        <v>382.01</v>
      </c>
      <c r="C557">
        <v>0</v>
      </c>
      <c r="D557">
        <v>10</v>
      </c>
      <c r="E557">
        <v>0</v>
      </c>
      <c r="G557">
        <f t="shared" si="8"/>
        <v>3.7999999999999545E-3</v>
      </c>
      <c r="H557">
        <f>SQRT($K$3/B557*G557)</f>
        <v>9.8784529600517285E-3</v>
      </c>
    </row>
    <row r="558" spans="1:8">
      <c r="A558" s="1">
        <v>27750</v>
      </c>
      <c r="B558">
        <v>382.21</v>
      </c>
      <c r="C558">
        <v>0</v>
      </c>
      <c r="D558">
        <v>10</v>
      </c>
      <c r="E558">
        <v>0</v>
      </c>
      <c r="G558">
        <f t="shared" si="8"/>
        <v>3.9999999999997728E-3</v>
      </c>
      <c r="H558">
        <f>SQRT($K$3/B558*G558)</f>
        <v>1.0132426837852888E-2</v>
      </c>
    </row>
    <row r="559" spans="1:8">
      <c r="A559" s="1">
        <v>27800</v>
      </c>
      <c r="B559">
        <v>382.4</v>
      </c>
      <c r="C559">
        <v>0</v>
      </c>
      <c r="D559">
        <v>10</v>
      </c>
      <c r="E559">
        <v>0</v>
      </c>
      <c r="G559">
        <f t="shared" si="8"/>
        <v>3.7999999999999545E-3</v>
      </c>
      <c r="H559">
        <f>SQRT($K$3/B559*G559)</f>
        <v>9.873414283996686E-3</v>
      </c>
    </row>
    <row r="560" spans="1:8">
      <c r="A560" s="1">
        <v>27850</v>
      </c>
      <c r="B560">
        <v>382.6</v>
      </c>
      <c r="C560">
        <v>0</v>
      </c>
      <c r="D560">
        <v>10</v>
      </c>
      <c r="E560">
        <v>0</v>
      </c>
      <c r="G560">
        <f t="shared" si="8"/>
        <v>4.0000000000009091E-3</v>
      </c>
      <c r="H560">
        <f>SQRT($K$3/B560*G560)</f>
        <v>1.0127261320343221E-2</v>
      </c>
    </row>
    <row r="561" spans="1:8">
      <c r="A561" s="1">
        <v>27900</v>
      </c>
      <c r="B561">
        <v>382.79</v>
      </c>
      <c r="C561">
        <v>0</v>
      </c>
      <c r="D561">
        <v>10</v>
      </c>
      <c r="E561">
        <v>0</v>
      </c>
      <c r="G561">
        <f t="shared" si="8"/>
        <v>3.7999999999999545E-3</v>
      </c>
      <c r="H561">
        <f>SQRT($K$3/B561*G561)</f>
        <v>9.8683833102765767E-3</v>
      </c>
    </row>
    <row r="562" spans="1:8">
      <c r="A562" s="1">
        <v>27950</v>
      </c>
      <c r="B562">
        <v>382.99</v>
      </c>
      <c r="C562">
        <v>0</v>
      </c>
      <c r="D562">
        <v>10</v>
      </c>
      <c r="E562">
        <v>0</v>
      </c>
      <c r="G562">
        <f t="shared" si="8"/>
        <v>3.9999999999997728E-3</v>
      </c>
      <c r="H562">
        <f>SQRT($K$3/B562*G562)</f>
        <v>1.0122103694936348E-2</v>
      </c>
    </row>
    <row r="563" spans="1:8">
      <c r="A563" s="1">
        <v>28000</v>
      </c>
      <c r="B563">
        <v>383.18</v>
      </c>
      <c r="C563">
        <v>0</v>
      </c>
      <c r="D563">
        <v>10</v>
      </c>
      <c r="E563">
        <v>0</v>
      </c>
      <c r="G563">
        <f t="shared" si="8"/>
        <v>3.7999999999999545E-3</v>
      </c>
      <c r="H563">
        <f>SQRT($K$3/B563*G563)</f>
        <v>9.8633600192878489E-3</v>
      </c>
    </row>
    <row r="564" spans="1:8">
      <c r="A564" s="1">
        <v>28050</v>
      </c>
      <c r="B564">
        <v>383.38</v>
      </c>
      <c r="C564">
        <v>0</v>
      </c>
      <c r="D564">
        <v>10</v>
      </c>
      <c r="E564">
        <v>0</v>
      </c>
      <c r="G564">
        <f t="shared" si="8"/>
        <v>3.9999999999997728E-3</v>
      </c>
      <c r="H564">
        <f>SQRT($K$3/B564*G564)</f>
        <v>1.0116953941560522E-2</v>
      </c>
    </row>
    <row r="565" spans="1:8">
      <c r="A565" s="1">
        <v>28100</v>
      </c>
      <c r="B565">
        <v>383.57</v>
      </c>
      <c r="C565">
        <v>0</v>
      </c>
      <c r="D565">
        <v>10</v>
      </c>
      <c r="E565">
        <v>0</v>
      </c>
      <c r="G565">
        <f t="shared" si="8"/>
        <v>3.7999999999999545E-3</v>
      </c>
      <c r="H565">
        <f>SQRT($K$3/B565*G565)</f>
        <v>9.8583443914967307E-3</v>
      </c>
    </row>
    <row r="566" spans="1:8">
      <c r="A566" s="1">
        <v>28150</v>
      </c>
      <c r="B566">
        <v>383.77</v>
      </c>
      <c r="C566">
        <v>0</v>
      </c>
      <c r="D566">
        <v>10</v>
      </c>
      <c r="E566">
        <v>0</v>
      </c>
      <c r="G566">
        <f t="shared" si="8"/>
        <v>3.9999999999997728E-3</v>
      </c>
      <c r="H566">
        <f>SQRT($K$3/B566*G566)</f>
        <v>1.0111812040209663E-2</v>
      </c>
    </row>
    <row r="567" spans="1:8">
      <c r="A567" s="1">
        <v>28200</v>
      </c>
      <c r="B567">
        <v>383.97</v>
      </c>
      <c r="C567">
        <v>0</v>
      </c>
      <c r="D567">
        <v>10</v>
      </c>
      <c r="E567">
        <v>0</v>
      </c>
      <c r="G567">
        <f t="shared" si="8"/>
        <v>4.0000000000009091E-3</v>
      </c>
      <c r="H567">
        <f>SQRT($K$3/B567*G567)</f>
        <v>1.0109178207065719E-2</v>
      </c>
    </row>
    <row r="568" spans="1:8">
      <c r="A568" s="1">
        <v>28250</v>
      </c>
      <c r="B568">
        <v>384.16</v>
      </c>
      <c r="C568">
        <v>0</v>
      </c>
      <c r="D568">
        <v>10</v>
      </c>
      <c r="E568">
        <v>0</v>
      </c>
      <c r="G568">
        <f t="shared" si="8"/>
        <v>3.7999999999999545E-3</v>
      </c>
      <c r="H568">
        <f>SQRT($K$3/B568*G568)</f>
        <v>9.8507711692065233E-3</v>
      </c>
    </row>
    <row r="569" spans="1:8">
      <c r="A569" s="1">
        <v>28300</v>
      </c>
      <c r="B569">
        <v>384.36</v>
      </c>
      <c r="C569">
        <v>0</v>
      </c>
      <c r="D569">
        <v>10</v>
      </c>
      <c r="E569">
        <v>0</v>
      </c>
      <c r="G569">
        <f t="shared" si="8"/>
        <v>3.9999999999997728E-3</v>
      </c>
      <c r="H569">
        <f>SQRT($K$3/B569*G569)</f>
        <v>1.0104048146552726E-2</v>
      </c>
    </row>
    <row r="570" spans="1:8">
      <c r="A570" s="1">
        <v>28350</v>
      </c>
      <c r="B570">
        <v>384.55</v>
      </c>
      <c r="C570">
        <v>0</v>
      </c>
      <c r="D570">
        <v>10</v>
      </c>
      <c r="E570">
        <v>0</v>
      </c>
      <c r="G570">
        <f t="shared" si="8"/>
        <v>3.7999999999999545E-3</v>
      </c>
      <c r="H570">
        <f>SQRT($K$3/B570*G570)</f>
        <v>9.8457747119027675E-3</v>
      </c>
    </row>
    <row r="571" spans="1:8">
      <c r="A571" s="1">
        <v>28400</v>
      </c>
      <c r="B571">
        <v>384.75</v>
      </c>
      <c r="C571">
        <v>0</v>
      </c>
      <c r="D571">
        <v>10</v>
      </c>
      <c r="E571">
        <v>0</v>
      </c>
      <c r="G571">
        <f t="shared" si="8"/>
        <v>3.9999999999997728E-3</v>
      </c>
      <c r="H571">
        <f>SQRT($K$3/B571*G571)</f>
        <v>1.0098925888111144E-2</v>
      </c>
    </row>
    <row r="572" spans="1:8">
      <c r="A572" s="1">
        <v>28450</v>
      </c>
      <c r="B572">
        <v>384.95</v>
      </c>
      <c r="C572">
        <v>0</v>
      </c>
      <c r="D572">
        <v>10</v>
      </c>
      <c r="E572">
        <v>0</v>
      </c>
      <c r="G572">
        <f t="shared" si="8"/>
        <v>3.9999999999997728E-3</v>
      </c>
      <c r="H572">
        <f>SQRT($K$3/B572*G572)</f>
        <v>1.0096302108932512E-2</v>
      </c>
    </row>
    <row r="573" spans="1:8">
      <c r="A573" s="1">
        <v>28500</v>
      </c>
      <c r="B573">
        <v>385.14</v>
      </c>
      <c r="C573">
        <v>0</v>
      </c>
      <c r="D573">
        <v>10</v>
      </c>
      <c r="E573">
        <v>0</v>
      </c>
      <c r="G573">
        <f t="shared" si="8"/>
        <v>3.7999999999999545E-3</v>
      </c>
      <c r="H573">
        <f>SQRT($K$3/B573*G573)</f>
        <v>9.8382303987888491E-3</v>
      </c>
    </row>
    <row r="574" spans="1:8">
      <c r="A574" s="1">
        <v>28550</v>
      </c>
      <c r="B574">
        <v>385.34</v>
      </c>
      <c r="C574">
        <v>0</v>
      </c>
      <c r="D574">
        <v>10</v>
      </c>
      <c r="E574">
        <v>0</v>
      </c>
      <c r="G574">
        <f t="shared" si="8"/>
        <v>3.9999999999997728E-3</v>
      </c>
      <c r="H574">
        <f>SQRT($K$3/B574*G574)</f>
        <v>1.0091191616093897E-2</v>
      </c>
    </row>
    <row r="575" spans="1:8">
      <c r="A575" s="1">
        <v>28600</v>
      </c>
      <c r="B575">
        <v>385.54</v>
      </c>
      <c r="C575">
        <v>0</v>
      </c>
      <c r="D575">
        <v>10</v>
      </c>
      <c r="E575">
        <v>0</v>
      </c>
      <c r="G575">
        <f t="shared" si="8"/>
        <v>4.0000000000009091E-3</v>
      </c>
      <c r="H575">
        <f>SQRT($K$3/B575*G575)</f>
        <v>1.0088573859010611E-2</v>
      </c>
    </row>
    <row r="576" spans="1:8">
      <c r="A576" s="1">
        <v>28650</v>
      </c>
      <c r="B576">
        <v>385.73</v>
      </c>
      <c r="C576">
        <v>0</v>
      </c>
      <c r="D576">
        <v>10</v>
      </c>
      <c r="E576">
        <v>0</v>
      </c>
      <c r="G576">
        <f t="shared" si="8"/>
        <v>3.7999999999999545E-3</v>
      </c>
      <c r="H576">
        <f>SQRT($K$3/B576*G576)</f>
        <v>9.8307034016027438E-3</v>
      </c>
    </row>
    <row r="577" spans="1:8">
      <c r="A577" s="1">
        <v>28700</v>
      </c>
      <c r="B577">
        <v>385.93</v>
      </c>
      <c r="C577">
        <v>0</v>
      </c>
      <c r="D577">
        <v>10</v>
      </c>
      <c r="E577">
        <v>0</v>
      </c>
      <c r="G577">
        <f t="shared" si="8"/>
        <v>3.9999999999997728E-3</v>
      </c>
      <c r="H577">
        <f>SQRT($K$3/B577*G577)</f>
        <v>1.0083475086800606E-2</v>
      </c>
    </row>
    <row r="578" spans="1:8">
      <c r="A578" s="1">
        <v>28750</v>
      </c>
      <c r="B578">
        <v>386.13</v>
      </c>
      <c r="C578">
        <v>0</v>
      </c>
      <c r="D578">
        <v>10</v>
      </c>
      <c r="E578">
        <v>0</v>
      </c>
      <c r="G578">
        <f t="shared" si="8"/>
        <v>3.9999999999997728E-3</v>
      </c>
      <c r="H578">
        <f>SQRT($K$3/B578*G578)</f>
        <v>1.0080863328808495E-2</v>
      </c>
    </row>
    <row r="579" spans="1:8">
      <c r="A579" s="1">
        <v>28800</v>
      </c>
      <c r="B579">
        <v>386.32</v>
      </c>
      <c r="C579">
        <v>0</v>
      </c>
      <c r="D579">
        <v>10</v>
      </c>
      <c r="E579">
        <v>0</v>
      </c>
      <c r="G579">
        <f t="shared" si="8"/>
        <v>3.7999999999999545E-3</v>
      </c>
      <c r="H579">
        <f>SQRT($K$3/B579*G579)</f>
        <v>9.8231936542056107E-3</v>
      </c>
    </row>
    <row r="580" spans="1:8">
      <c r="A580" s="1">
        <v>28850</v>
      </c>
      <c r="B580">
        <v>386.52</v>
      </c>
      <c r="C580">
        <v>0</v>
      </c>
      <c r="D580">
        <v>10</v>
      </c>
      <c r="E580">
        <v>0</v>
      </c>
      <c r="G580">
        <f t="shared" si="8"/>
        <v>3.9999999999997728E-3</v>
      </c>
      <c r="H580">
        <f>SQRT($K$3/B580*G580)</f>
        <v>1.0075776232497346E-2</v>
      </c>
    </row>
    <row r="581" spans="1:8">
      <c r="A581" s="1">
        <v>28900</v>
      </c>
      <c r="B581">
        <v>386.72</v>
      </c>
      <c r="C581">
        <v>0</v>
      </c>
      <c r="D581">
        <v>10</v>
      </c>
      <c r="E581">
        <v>0</v>
      </c>
      <c r="G581">
        <f t="shared" ref="G581:G603" si="9">(B581-B580)/(A581-A580)</f>
        <v>4.0000000000009091E-3</v>
      </c>
      <c r="H581">
        <f>SQRT($K$3/B581*G581)</f>
        <v>1.0073170450720776E-2</v>
      </c>
    </row>
    <row r="582" spans="1:8">
      <c r="A582" s="1">
        <v>28950</v>
      </c>
      <c r="B582">
        <v>386.91</v>
      </c>
      <c r="C582">
        <v>0</v>
      </c>
      <c r="D582">
        <v>10</v>
      </c>
      <c r="E582">
        <v>0</v>
      </c>
      <c r="G582">
        <f t="shared" si="9"/>
        <v>3.7999999999999545E-3</v>
      </c>
      <c r="H582">
        <f>SQRT($K$3/B582*G582)</f>
        <v>9.815701090811731E-3</v>
      </c>
    </row>
    <row r="583" spans="1:8">
      <c r="A583" s="1">
        <v>29000</v>
      </c>
      <c r="B583">
        <v>387.11</v>
      </c>
      <c r="C583">
        <v>0</v>
      </c>
      <c r="D583">
        <v>10</v>
      </c>
      <c r="E583">
        <v>0</v>
      </c>
      <c r="G583">
        <f t="shared" si="9"/>
        <v>3.9999999999997728E-3</v>
      </c>
      <c r="H583">
        <f>SQRT($K$3/B583*G583)</f>
        <v>1.0068094985811646E-2</v>
      </c>
    </row>
    <row r="584" spans="1:8">
      <c r="A584" s="1">
        <v>29050</v>
      </c>
      <c r="B584">
        <v>387.31</v>
      </c>
      <c r="C584">
        <v>0</v>
      </c>
      <c r="D584">
        <v>10</v>
      </c>
      <c r="E584">
        <v>0</v>
      </c>
      <c r="G584">
        <f t="shared" si="9"/>
        <v>3.9999999999997728E-3</v>
      </c>
      <c r="H584">
        <f>SQRT($K$3/B584*G584)</f>
        <v>1.0065495157491224E-2</v>
      </c>
    </row>
    <row r="585" spans="1:8">
      <c r="A585" s="1">
        <v>29100</v>
      </c>
      <c r="B585">
        <v>387.51</v>
      </c>
      <c r="C585">
        <v>0</v>
      </c>
      <c r="D585">
        <v>10</v>
      </c>
      <c r="E585">
        <v>0</v>
      </c>
      <c r="G585">
        <f t="shared" si="9"/>
        <v>3.9999999999997728E-3</v>
      </c>
      <c r="H585">
        <f>SQRT($K$3/B585*G585)</f>
        <v>1.006289734214896E-2</v>
      </c>
    </row>
    <row r="586" spans="1:8">
      <c r="A586" s="1">
        <v>29150</v>
      </c>
      <c r="B586">
        <v>387.7</v>
      </c>
      <c r="C586">
        <v>0</v>
      </c>
      <c r="D586">
        <v>10</v>
      </c>
      <c r="E586">
        <v>0</v>
      </c>
      <c r="G586">
        <f t="shared" si="9"/>
        <v>3.7999999999999545E-3</v>
      </c>
      <c r="H586">
        <f>SQRT($K$3/B586*G586)</f>
        <v>9.8056954703613954E-3</v>
      </c>
    </row>
    <row r="587" spans="1:8">
      <c r="A587" s="1">
        <v>29200</v>
      </c>
      <c r="B587">
        <v>387.9</v>
      </c>
      <c r="C587">
        <v>0</v>
      </c>
      <c r="D587">
        <v>10</v>
      </c>
      <c r="E587">
        <v>0</v>
      </c>
      <c r="G587">
        <f t="shared" si="9"/>
        <v>3.9999999999997728E-3</v>
      </c>
      <c r="H587">
        <f>SQRT($K$3/B587*G587)</f>
        <v>1.0057837382231772E-2</v>
      </c>
    </row>
    <row r="588" spans="1:8">
      <c r="A588" s="1">
        <v>29250</v>
      </c>
      <c r="B588">
        <v>388.1</v>
      </c>
      <c r="C588">
        <v>0</v>
      </c>
      <c r="D588">
        <v>10</v>
      </c>
      <c r="E588">
        <v>0</v>
      </c>
      <c r="G588">
        <f t="shared" si="9"/>
        <v>4.0000000000009091E-3</v>
      </c>
      <c r="H588">
        <f>SQRT($K$3/B588*G588)</f>
        <v>1.0055245490067439E-2</v>
      </c>
    </row>
    <row r="589" spans="1:8">
      <c r="A589" s="1">
        <v>29300</v>
      </c>
      <c r="B589">
        <v>388.3</v>
      </c>
      <c r="C589">
        <v>0</v>
      </c>
      <c r="D589">
        <v>10</v>
      </c>
      <c r="E589">
        <v>0</v>
      </c>
      <c r="G589">
        <f t="shared" si="9"/>
        <v>3.9999999999997728E-3</v>
      </c>
      <c r="H589">
        <f>SQRT($K$3/B589*G589)</f>
        <v>1.0052655600650207E-2</v>
      </c>
    </row>
    <row r="590" spans="1:8">
      <c r="A590" s="1">
        <v>29350</v>
      </c>
      <c r="B590">
        <v>388.5</v>
      </c>
      <c r="C590">
        <v>0</v>
      </c>
      <c r="D590">
        <v>10</v>
      </c>
      <c r="E590">
        <v>0</v>
      </c>
      <c r="G590">
        <f t="shared" si="9"/>
        <v>3.9999999999997728E-3</v>
      </c>
      <c r="H590">
        <f>SQRT($K$3/B590*G590)</f>
        <v>1.0050067711406489E-2</v>
      </c>
    </row>
    <row r="591" spans="1:8">
      <c r="A591" s="1">
        <v>29400</v>
      </c>
      <c r="B591">
        <v>388.69</v>
      </c>
      <c r="C591">
        <v>0</v>
      </c>
      <c r="D591">
        <v>10</v>
      </c>
      <c r="E591">
        <v>0</v>
      </c>
      <c r="G591">
        <f t="shared" si="9"/>
        <v>3.7999999999999545E-3</v>
      </c>
      <c r="H591">
        <f>SQRT($K$3/B591*G591)</f>
        <v>9.7931998726098479E-3</v>
      </c>
    </row>
    <row r="592" spans="1:8">
      <c r="A592" s="1">
        <v>29450</v>
      </c>
      <c r="B592">
        <v>388.89</v>
      </c>
      <c r="C592">
        <v>0</v>
      </c>
      <c r="D592">
        <v>10</v>
      </c>
      <c r="E592">
        <v>0</v>
      </c>
      <c r="G592">
        <f t="shared" si="9"/>
        <v>3.9999999999997728E-3</v>
      </c>
      <c r="H592">
        <f>SQRT($K$3/B592*G592)</f>
        <v>1.0045027070635378E-2</v>
      </c>
    </row>
    <row r="593" spans="1:8">
      <c r="A593" s="1">
        <v>29500</v>
      </c>
      <c r="B593">
        <v>389.09</v>
      </c>
      <c r="C593">
        <v>0</v>
      </c>
      <c r="D593">
        <v>10</v>
      </c>
      <c r="E593">
        <v>0</v>
      </c>
      <c r="G593">
        <f t="shared" si="9"/>
        <v>3.9999999999997728E-3</v>
      </c>
      <c r="H593">
        <f>SQRT($K$3/B593*G593)</f>
        <v>1.0042445066924557E-2</v>
      </c>
    </row>
    <row r="594" spans="1:8">
      <c r="A594" s="1">
        <v>29550</v>
      </c>
      <c r="B594">
        <v>389.29</v>
      </c>
      <c r="C594">
        <v>0</v>
      </c>
      <c r="D594">
        <v>10</v>
      </c>
      <c r="E594">
        <v>0</v>
      </c>
      <c r="G594">
        <f t="shared" si="9"/>
        <v>4.0000000000009091E-3</v>
      </c>
      <c r="H594">
        <f>SQRT($K$3/B594*G594)</f>
        <v>1.0039865053249932E-2</v>
      </c>
    </row>
    <row r="595" spans="1:8">
      <c r="A595" s="1">
        <v>29600</v>
      </c>
      <c r="B595">
        <v>389.49</v>
      </c>
      <c r="C595">
        <v>0</v>
      </c>
      <c r="D595">
        <v>10</v>
      </c>
      <c r="E595">
        <v>0</v>
      </c>
      <c r="G595">
        <f t="shared" si="9"/>
        <v>3.9999999999997728E-3</v>
      </c>
      <c r="H595">
        <f>SQRT($K$3/B595*G595)</f>
        <v>1.0037287027052234E-2</v>
      </c>
    </row>
    <row r="596" spans="1:8">
      <c r="A596" s="1">
        <v>29650</v>
      </c>
      <c r="B596">
        <v>389.69</v>
      </c>
      <c r="C596">
        <v>0</v>
      </c>
      <c r="D596">
        <v>10</v>
      </c>
      <c r="E596">
        <v>0</v>
      </c>
      <c r="G596">
        <f t="shared" si="9"/>
        <v>3.9999999999997728E-3</v>
      </c>
      <c r="H596">
        <f>SQRT($K$3/B596*G596)</f>
        <v>1.0034710985785332E-2</v>
      </c>
    </row>
    <row r="597" spans="1:8">
      <c r="A597" s="1">
        <v>29700</v>
      </c>
      <c r="B597">
        <v>389.88</v>
      </c>
      <c r="C597">
        <v>0</v>
      </c>
      <c r="D597">
        <v>10</v>
      </c>
      <c r="E597">
        <v>0</v>
      </c>
      <c r="G597">
        <f t="shared" si="9"/>
        <v>3.7999999999999545E-3</v>
      </c>
      <c r="H597">
        <f>SQRT($K$3/B597*G597)</f>
        <v>9.7782429448095721E-3</v>
      </c>
    </row>
    <row r="598" spans="1:8">
      <c r="A598" s="1">
        <v>29750</v>
      </c>
      <c r="B598">
        <v>390.08</v>
      </c>
      <c r="C598">
        <v>0</v>
      </c>
      <c r="D598">
        <v>10</v>
      </c>
      <c r="E598">
        <v>0</v>
      </c>
      <c r="G598">
        <f t="shared" si="9"/>
        <v>3.9999999999997728E-3</v>
      </c>
      <c r="H598">
        <f>SQRT($K$3/B598*G598)</f>
        <v>1.0029693404830885E-2</v>
      </c>
    </row>
    <row r="599" spans="1:8">
      <c r="A599" s="1">
        <v>29800</v>
      </c>
      <c r="B599">
        <v>390.28</v>
      </c>
      <c r="C599">
        <v>0</v>
      </c>
      <c r="D599">
        <v>10</v>
      </c>
      <c r="E599">
        <v>0</v>
      </c>
      <c r="G599">
        <f t="shared" si="9"/>
        <v>3.9999999999997728E-3</v>
      </c>
      <c r="H599">
        <f>SQRT($K$3/B599*G599)</f>
        <v>1.0027123204290304E-2</v>
      </c>
    </row>
    <row r="600" spans="1:8">
      <c r="A600" s="1">
        <v>29850</v>
      </c>
      <c r="B600">
        <v>390.48</v>
      </c>
      <c r="C600">
        <v>0</v>
      </c>
      <c r="D600">
        <v>10</v>
      </c>
      <c r="E600">
        <v>0</v>
      </c>
      <c r="G600">
        <f t="shared" si="9"/>
        <v>4.0000000000009091E-3</v>
      </c>
      <c r="H600">
        <f>SQRT($K$3/B600*G600)</f>
        <v>1.0024554978651085E-2</v>
      </c>
    </row>
    <row r="601" spans="1:8">
      <c r="A601" s="1">
        <v>29900</v>
      </c>
      <c r="B601">
        <v>390.68</v>
      </c>
      <c r="C601">
        <v>0</v>
      </c>
      <c r="D601">
        <v>10</v>
      </c>
      <c r="E601">
        <v>0</v>
      </c>
      <c r="G601">
        <f t="shared" si="9"/>
        <v>3.9999999999997728E-3</v>
      </c>
      <c r="H601">
        <f>SQRT($K$3/B601*G601)</f>
        <v>1.0021988725381119E-2</v>
      </c>
    </row>
    <row r="602" spans="1:8">
      <c r="A602" s="1">
        <v>29950</v>
      </c>
      <c r="B602">
        <v>390.88</v>
      </c>
      <c r="C602">
        <v>0</v>
      </c>
      <c r="D602">
        <v>10</v>
      </c>
      <c r="E602">
        <v>0</v>
      </c>
      <c r="G602">
        <f t="shared" si="9"/>
        <v>3.9999999999997728E-3</v>
      </c>
      <c r="H602">
        <f>SQRT($K$3/B602*G602)</f>
        <v>1.0019424441961362E-2</v>
      </c>
    </row>
    <row r="603" spans="1:8">
      <c r="A603" s="1">
        <v>30000</v>
      </c>
      <c r="B603">
        <v>391.08</v>
      </c>
      <c r="C603">
        <v>0</v>
      </c>
      <c r="D603">
        <v>10</v>
      </c>
      <c r="E603">
        <v>0</v>
      </c>
      <c r="G603">
        <f t="shared" si="9"/>
        <v>3.9999999999997728E-3</v>
      </c>
      <c r="H603">
        <f>SQRT($K$3/B603*G603)</f>
        <v>1.0016862125871599E-2</v>
      </c>
    </row>
  </sheetData>
  <mergeCells count="1">
    <mergeCell ref="A1:B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Simona Rinaldi</cp:lastModifiedBy>
  <cp:revision/>
  <dcterms:created xsi:type="dcterms:W3CDTF">2024-09-26T09:32:04Z</dcterms:created>
  <dcterms:modified xsi:type="dcterms:W3CDTF">2025-12-15T15:39:02Z</dcterms:modified>
  <cp:category/>
  <cp:contentStatus/>
</cp:coreProperties>
</file>